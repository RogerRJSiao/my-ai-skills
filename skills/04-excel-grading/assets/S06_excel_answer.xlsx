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【Todo_M2100\S06_excel_評分\"/>
    </mc:Choice>
  </mc:AlternateContent>
  <bookViews>
    <workbookView xWindow="-90" yWindow="-90" windowWidth="28980" windowHeight="15780" activeTab="3"/>
  </bookViews>
  <sheets>
    <sheet name="薪資" sheetId="7" r:id="rId1"/>
    <sheet name="成績" sheetId="5" r:id="rId2"/>
    <sheet name="車輛銷售" sheetId="9" r:id="rId3"/>
    <sheet name="武將能力" sheetId="10" r:id="rId4"/>
    <sheet name="考題" sheetId="8" r:id="rId5"/>
  </sheets>
  <definedNames>
    <definedName name="_xlnm._FilterDatabase" localSheetId="1" hidden="1">考題!$A$15:$G$15</definedName>
    <definedName name="_xlnm._FilterDatabase" localSheetId="4" hidden="1">考題!$A$15:$G$29</definedName>
  </definedNames>
  <calcPr calcId="162913"/>
  <pivotCaches>
    <pivotCache cacheId="1" r:id="rId6"/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6" i="5" l="1"/>
  <c r="D16" i="5"/>
  <c r="E16" i="5"/>
  <c r="F16" i="5"/>
  <c r="B16" i="5"/>
  <c r="G10" i="5"/>
  <c r="G5" i="5"/>
  <c r="G9" i="5"/>
  <c r="G3" i="5"/>
  <c r="G8" i="5"/>
  <c r="G15" i="5"/>
  <c r="G11" i="5"/>
  <c r="G13" i="5"/>
  <c r="G4" i="5"/>
  <c r="G6" i="5"/>
  <c r="G12" i="5"/>
  <c r="G7" i="5"/>
  <c r="G14" i="5"/>
  <c r="E6" i="9" l="1"/>
  <c r="E5" i="9"/>
  <c r="E4" i="9"/>
  <c r="E3" i="9"/>
  <c r="G22" i="8"/>
  <c r="G24" i="8"/>
  <c r="G23" i="8"/>
  <c r="G28" i="8"/>
  <c r="G27" i="8"/>
  <c r="G17" i="8"/>
  <c r="G25" i="8"/>
  <c r="G18" i="8"/>
  <c r="G16" i="8"/>
  <c r="G19" i="8"/>
  <c r="G21" i="8"/>
  <c r="G20" i="8"/>
  <c r="G26" i="8"/>
  <c r="B29" i="8"/>
  <c r="C29" i="8"/>
  <c r="D29" i="8"/>
  <c r="E29" i="8"/>
  <c r="F29" i="8"/>
</calcChain>
</file>

<file path=xl/sharedStrings.xml><?xml version="1.0" encoding="utf-8"?>
<sst xmlns="http://schemas.openxmlformats.org/spreadsheetml/2006/main" count="171" uniqueCount="97">
  <si>
    <t>姓名</t>
  </si>
  <si>
    <t>英文</t>
  </si>
  <si>
    <t>經濟</t>
  </si>
  <si>
    <t>行銷學</t>
  </si>
  <si>
    <t>管理學</t>
  </si>
  <si>
    <t>黃依娟</t>
  </si>
  <si>
    <t>吳雅芳</t>
  </si>
  <si>
    <t>葉若雅</t>
  </si>
  <si>
    <t>學生姓名</t>
  </si>
  <si>
    <t>廠牌</t>
    <phoneticPr fontId="2" type="noConversion"/>
  </si>
  <si>
    <t>福特</t>
    <phoneticPr fontId="2" type="noConversion"/>
  </si>
  <si>
    <t>賓士</t>
    <phoneticPr fontId="2" type="noConversion"/>
  </si>
  <si>
    <t>裕隆</t>
    <phoneticPr fontId="2" type="noConversion"/>
  </si>
  <si>
    <t>三菱</t>
    <phoneticPr fontId="2" type="noConversion"/>
  </si>
  <si>
    <t>一月</t>
    <phoneticPr fontId="2" type="noConversion"/>
  </si>
  <si>
    <t>二月</t>
    <phoneticPr fontId="2" type="noConversion"/>
  </si>
  <si>
    <t>三月</t>
    <phoneticPr fontId="2" type="noConversion"/>
  </si>
  <si>
    <t>總計</t>
  </si>
  <si>
    <t>總計</t>
    <phoneticPr fontId="2" type="noConversion"/>
  </si>
  <si>
    <t>統計</t>
  </si>
  <si>
    <t>王錦昌</t>
  </si>
  <si>
    <t>林明玉</t>
  </si>
  <si>
    <t>郭瑞龍</t>
  </si>
  <si>
    <t>吳志誠</t>
  </si>
  <si>
    <t>陳似芳</t>
  </si>
  <si>
    <t>王婉琪</t>
  </si>
  <si>
    <t>黃建明</t>
  </si>
  <si>
    <t>林正洲</t>
  </si>
  <si>
    <t>編號</t>
  </si>
  <si>
    <t>性別</t>
  </si>
  <si>
    <t>部門</t>
  </si>
  <si>
    <t>職稱</t>
  </si>
  <si>
    <t>生日</t>
  </si>
  <si>
    <t>婚姻</t>
  </si>
  <si>
    <t>教育</t>
  </si>
  <si>
    <t>年齡</t>
  </si>
  <si>
    <t>薪資</t>
  </si>
  <si>
    <t>M01</t>
  </si>
  <si>
    <t>吳明美</t>
  </si>
  <si>
    <t>女</t>
  </si>
  <si>
    <t>業務</t>
  </si>
  <si>
    <t>主任</t>
  </si>
  <si>
    <t>已婚</t>
  </si>
  <si>
    <t>A02</t>
  </si>
  <si>
    <t>呂玉鳳</t>
  </si>
  <si>
    <t>會計</t>
  </si>
  <si>
    <t>S01</t>
  </si>
  <si>
    <t>孫國寧</t>
  </si>
  <si>
    <t>門市</t>
  </si>
  <si>
    <t>M03</t>
  </si>
  <si>
    <t>蘇儀義</t>
  </si>
  <si>
    <t>男</t>
  </si>
  <si>
    <t>專員</t>
  </si>
  <si>
    <t>A05</t>
  </si>
  <si>
    <t>林美惠</t>
  </si>
  <si>
    <t>M08</t>
  </si>
  <si>
    <t>劉銘川</t>
  </si>
  <si>
    <t>M07</t>
  </si>
  <si>
    <t>林美珍</t>
  </si>
  <si>
    <t>未婚</t>
  </si>
  <si>
    <t>M04</t>
  </si>
  <si>
    <t>黃啟川</t>
  </si>
  <si>
    <t>梁國棟</t>
  </si>
  <si>
    <t>A04</t>
  </si>
  <si>
    <t>蕭惠真</t>
  </si>
  <si>
    <t>M05</t>
  </si>
  <si>
    <t>林龍盛</t>
  </si>
  <si>
    <t>S03</t>
  </si>
  <si>
    <t>楊惠芬</t>
  </si>
  <si>
    <t>列標籤</t>
  </si>
  <si>
    <t>欄標籤</t>
  </si>
  <si>
    <t>平均值 - 薪資</t>
  </si>
  <si>
    <t>班平均</t>
    <phoneticPr fontId="2" type="noConversion"/>
  </si>
  <si>
    <t>陳信</t>
    <phoneticPr fontId="2" type="noConversion"/>
  </si>
  <si>
    <t>周金珠</t>
    <phoneticPr fontId="2" type="noConversion"/>
  </si>
  <si>
    <t>經濟甲班 期中考成績表</t>
    <phoneticPr fontId="2" type="noConversion"/>
  </si>
  <si>
    <r>
      <t xml:space="preserve">2.2: 將 </t>
    </r>
    <r>
      <rPr>
        <sz val="12"/>
        <color rgb="FFFF0000"/>
        <rFont val="新細明體"/>
        <family val="1"/>
        <charset val="136"/>
        <scheme val="minor"/>
      </rPr>
      <t xml:space="preserve">"經濟甲班 期中考成績表" </t>
    </r>
    <r>
      <rPr>
        <sz val="12"/>
        <rFont val="新細明體"/>
        <family val="1"/>
        <charset val="136"/>
        <scheme val="minor"/>
      </rPr>
      <t>設定為跨欄置中，使其橫跨表格作為標頭</t>
    </r>
    <phoneticPr fontId="2" type="noConversion"/>
  </si>
  <si>
    <t>個人平均</t>
    <phoneticPr fontId="2" type="noConversion"/>
  </si>
  <si>
    <r>
      <t>2.1: 凍結窗格使</t>
    </r>
    <r>
      <rPr>
        <sz val="12"/>
        <color rgb="FFFF0000"/>
        <rFont val="新細明體"/>
        <family val="1"/>
        <charset val="136"/>
        <scheme val="minor"/>
      </rPr>
      <t>"學生姓名"</t>
    </r>
    <r>
      <rPr>
        <sz val="12"/>
        <color theme="1"/>
        <rFont val="新細明體"/>
        <family val="2"/>
        <charset val="136"/>
        <scheme val="minor"/>
      </rPr>
      <t>及</t>
    </r>
    <r>
      <rPr>
        <sz val="12"/>
        <color rgb="FFFF0000"/>
        <rFont val="新細明體"/>
        <family val="1"/>
        <charset val="136"/>
        <scheme val="minor"/>
      </rPr>
      <t>"各科目"</t>
    </r>
    <r>
      <rPr>
        <sz val="12"/>
        <color theme="1"/>
        <rFont val="新細明體"/>
        <family val="2"/>
        <charset val="136"/>
        <scheme val="minor"/>
      </rPr>
      <t>不因滑鼠滾動而移動</t>
    </r>
    <phoneticPr fontId="2" type="noConversion"/>
  </si>
  <si>
    <r>
      <t>2.3: 使用</t>
    </r>
    <r>
      <rPr>
        <sz val="12"/>
        <color rgb="FFFF0000"/>
        <rFont val="新細明體"/>
        <family val="1"/>
        <charset val="136"/>
        <scheme val="minor"/>
      </rPr>
      <t>AVG</t>
    </r>
    <r>
      <rPr>
        <sz val="12"/>
        <color theme="1"/>
        <rFont val="新細明體"/>
        <family val="2"/>
        <charset val="136"/>
        <scheme val="minor"/>
      </rPr>
      <t>涵式計算出</t>
    </r>
    <r>
      <rPr>
        <sz val="12"/>
        <color rgb="FFFF0000"/>
        <rFont val="新細明體"/>
        <family val="1"/>
        <charset val="136"/>
        <scheme val="minor"/>
      </rPr>
      <t>個人平均</t>
    </r>
    <r>
      <rPr>
        <sz val="12"/>
        <color theme="1"/>
        <rFont val="新細明體"/>
        <family val="2"/>
        <charset val="136"/>
        <scheme val="minor"/>
      </rPr>
      <t>分數、及各科</t>
    </r>
    <r>
      <rPr>
        <sz val="12"/>
        <color rgb="FFFF0000"/>
        <rFont val="新細明體"/>
        <family val="1"/>
        <charset val="136"/>
        <scheme val="minor"/>
      </rPr>
      <t>班平均</t>
    </r>
    <r>
      <rPr>
        <sz val="12"/>
        <color theme="1"/>
        <rFont val="新細明體"/>
        <family val="2"/>
        <charset val="136"/>
        <scheme val="minor"/>
      </rPr>
      <t>分數</t>
    </r>
    <phoneticPr fontId="2" type="noConversion"/>
  </si>
  <si>
    <r>
      <t>2.4: 使用</t>
    </r>
    <r>
      <rPr>
        <sz val="12"/>
        <color rgb="FFFF0000"/>
        <rFont val="新細明體"/>
        <family val="1"/>
        <charset val="136"/>
        <scheme val="minor"/>
      </rPr>
      <t>"自訂排序"</t>
    </r>
    <r>
      <rPr>
        <sz val="12"/>
        <color theme="1"/>
        <rFont val="新細明體"/>
        <family val="2"/>
        <charset val="136"/>
        <scheme val="minor"/>
      </rPr>
      <t>功能使成績表依</t>
    </r>
    <r>
      <rPr>
        <sz val="12"/>
        <color rgb="FFFF0000"/>
        <rFont val="新細明體"/>
        <family val="1"/>
        <charset val="136"/>
        <scheme val="minor"/>
      </rPr>
      <t>"個人平均"</t>
    </r>
    <r>
      <rPr>
        <sz val="12"/>
        <color theme="1"/>
        <rFont val="新細明體"/>
        <family val="2"/>
        <charset val="136"/>
        <scheme val="minor"/>
      </rPr>
      <t>由大到小排列</t>
    </r>
    <phoneticPr fontId="2" type="noConversion"/>
  </si>
  <si>
    <r>
      <t>2.5: 使用</t>
    </r>
    <r>
      <rPr>
        <sz val="12"/>
        <color rgb="FFFF0000"/>
        <rFont val="新細明體"/>
        <family val="1"/>
        <charset val="136"/>
        <scheme val="minor"/>
      </rPr>
      <t>"篩選"</t>
    </r>
    <r>
      <rPr>
        <sz val="12"/>
        <color theme="1"/>
        <rFont val="新細明體"/>
        <family val="2"/>
        <charset val="136"/>
        <scheme val="minor"/>
      </rPr>
      <t>功能，使成績表只顯示大於</t>
    </r>
    <r>
      <rPr>
        <sz val="12"/>
        <color rgb="FFFF0000"/>
        <rFont val="新細明體"/>
        <family val="1"/>
        <charset val="136"/>
        <scheme val="minor"/>
      </rPr>
      <t>個人平均&gt;70</t>
    </r>
    <r>
      <rPr>
        <sz val="12"/>
        <color theme="1"/>
        <rFont val="新細明體"/>
        <family val="2"/>
        <charset val="136"/>
        <scheme val="minor"/>
      </rPr>
      <t>的人。</t>
    </r>
    <phoneticPr fontId="2" type="noConversion"/>
  </si>
  <si>
    <t>各月車輛銷售數</t>
    <phoneticPr fontId="2" type="noConversion"/>
  </si>
  <si>
    <t>統帥</t>
    <phoneticPr fontId="2" type="noConversion"/>
  </si>
  <si>
    <t>武力</t>
    <phoneticPr fontId="2" type="noConversion"/>
  </si>
  <si>
    <t>智力</t>
    <phoneticPr fontId="2" type="noConversion"/>
  </si>
  <si>
    <t>政治</t>
    <phoneticPr fontId="2" type="noConversion"/>
  </si>
  <si>
    <t>魅力</t>
    <phoneticPr fontId="2" type="noConversion"/>
  </si>
  <si>
    <t>趙雲</t>
    <phoneticPr fontId="2" type="noConversion"/>
  </si>
  <si>
    <t>武將各項能力表</t>
    <phoneticPr fontId="2" type="noConversion"/>
  </si>
  <si>
    <r>
      <rPr>
        <sz val="12"/>
        <color rgb="FF525252"/>
        <rFont val="新細明體"/>
        <family val="2"/>
        <charset val="136"/>
      </rPr>
      <t>程遠志</t>
    </r>
    <r>
      <rPr>
        <sz val="12"/>
        <color rgb="FF525252"/>
        <rFont val="Ubuntu"/>
        <family val="2"/>
      </rPr>
      <t xml:space="preserve">	</t>
    </r>
    <phoneticPr fontId="2" type="noConversion"/>
  </si>
  <si>
    <t>劉禪</t>
    <phoneticPr fontId="2" type="noConversion"/>
  </si>
  <si>
    <r>
      <t xml:space="preserve">2. 請以工作表 </t>
    </r>
    <r>
      <rPr>
        <sz val="12"/>
        <color rgb="FFFF0000"/>
        <rFont val="新細明體"/>
        <family val="1"/>
        <charset val="136"/>
        <scheme val="minor"/>
      </rPr>
      <t>"成績"</t>
    </r>
    <r>
      <rPr>
        <sz val="12"/>
        <color theme="1"/>
        <rFont val="新細明體"/>
        <family val="2"/>
        <charset val="136"/>
        <scheme val="minor"/>
      </rPr>
      <t xml:space="preserve"> 為原始資料，滿足以下要求，並完成下表：</t>
    </r>
    <phoneticPr fontId="2" type="noConversion"/>
  </si>
  <si>
    <r>
      <t xml:space="preserve">1. 請以工作表 </t>
    </r>
    <r>
      <rPr>
        <sz val="12"/>
        <color rgb="FFFF0000"/>
        <rFont val="新細明體"/>
        <family val="1"/>
        <charset val="136"/>
        <scheme val="minor"/>
      </rPr>
      <t>"薪資"</t>
    </r>
    <r>
      <rPr>
        <sz val="12"/>
        <color theme="1"/>
        <rFont val="新細明體"/>
        <family val="2"/>
        <charset val="136"/>
        <scheme val="minor"/>
      </rPr>
      <t xml:space="preserve"> 為原始資料，以樞紐分析拉出男女平均薪資：</t>
    </r>
    <phoneticPr fontId="2" type="noConversion"/>
  </si>
  <si>
    <t>3. 請以車輛銷售為原始資料，並繪製如下直方圖表，以顯示各廠牌各月份銷售數量：</t>
    <phoneticPr fontId="2" type="noConversion"/>
  </si>
  <si>
    <r>
      <t xml:space="preserve">4. 請以工作表 </t>
    </r>
    <r>
      <rPr>
        <sz val="12"/>
        <color rgb="FFFF0000"/>
        <rFont val="新細明體"/>
        <family val="1"/>
        <charset val="136"/>
        <scheme val="minor"/>
      </rPr>
      <t>"武將能力"</t>
    </r>
    <r>
      <rPr>
        <sz val="12"/>
        <color theme="1"/>
        <rFont val="新細明體"/>
        <family val="2"/>
        <charset val="136"/>
        <scheme val="minor"/>
      </rPr>
      <t>拉出如下雷達圖：</t>
    </r>
    <phoneticPr fontId="2" type="noConversion"/>
  </si>
  <si>
    <t>周瑜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</si>
</sst>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&quot;$&quot;#,##0.00"/>
    <numFmt numFmtId="177" formatCode="&quot;$&quot;#,##0.00_);[Red]\(&quot;$&quot;#,##0.00\)"/>
  </numFmts>
  <fonts count="18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theme="0"/>
      <name val="新細明體"/>
      <family val="1"/>
      <charset val="136"/>
      <scheme val="min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1"/>
      <charset val="136"/>
    </font>
    <font>
      <sz val="12"/>
      <color rgb="FF525252"/>
      <name val="Ubuntu"/>
      <family val="2"/>
    </font>
    <font>
      <sz val="12"/>
      <color rgb="FF525252"/>
      <name val="新細明體"/>
      <family val="2"/>
      <charset val="136"/>
    </font>
    <font>
      <sz val="12"/>
      <color rgb="FF525252"/>
      <name val="細明體"/>
      <family val="2"/>
      <charset val="136"/>
    </font>
    <font>
      <sz val="12"/>
      <color rgb="FF525252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</cellStyleXfs>
  <cellXfs count="24">
    <xf numFmtId="0" fontId="0" fillId="0" borderId="0" xfId="0">
      <alignment vertical="center"/>
    </xf>
    <xf numFmtId="9" fontId="0" fillId="0" borderId="0" xfId="1" applyFont="1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>
      <alignment vertical="center"/>
    </xf>
    <xf numFmtId="0" fontId="0" fillId="0" borderId="0" xfId="0" applyBorder="1">
      <alignment vertical="center"/>
    </xf>
    <xf numFmtId="1" fontId="0" fillId="0" borderId="0" xfId="0" applyNumberFormat="1">
      <alignment vertical="center"/>
    </xf>
    <xf numFmtId="176" fontId="0" fillId="4" borderId="0" xfId="0" applyNumberFormat="1" applyFill="1">
      <alignment vertical="center"/>
    </xf>
    <xf numFmtId="0" fontId="3" fillId="0" borderId="0" xfId="3" applyAlignment="1">
      <alignment vertical="center"/>
    </xf>
    <xf numFmtId="0" fontId="3" fillId="0" borderId="5" xfId="3" applyBorder="1">
      <alignment vertical="center"/>
    </xf>
    <xf numFmtId="0" fontId="3" fillId="0" borderId="5" xfId="2" applyFill="1" applyBorder="1">
      <alignment vertical="center"/>
    </xf>
    <xf numFmtId="0" fontId="0" fillId="0" borderId="5" xfId="0" applyBorder="1">
      <alignment vertical="center"/>
    </xf>
    <xf numFmtId="1" fontId="10" fillId="4" borderId="5" xfId="0" applyNumberFormat="1" applyFont="1" applyFill="1" applyBorder="1">
      <alignment vertical="center"/>
    </xf>
    <xf numFmtId="0" fontId="13" fillId="4" borderId="5" xfId="2" applyFont="1" applyFill="1" applyBorder="1">
      <alignment vertical="center"/>
    </xf>
    <xf numFmtId="0" fontId="14" fillId="0" borderId="0" xfId="0" applyFont="1" applyBorder="1">
      <alignment vertical="center"/>
    </xf>
    <xf numFmtId="0" fontId="16" fillId="0" borderId="0" xfId="0" applyFont="1" applyBorder="1">
      <alignment vertical="center"/>
    </xf>
    <xf numFmtId="0" fontId="0" fillId="0" borderId="0" xfId="0" pivotButton="1">
      <alignment vertical="center"/>
    </xf>
    <xf numFmtId="177" fontId="0" fillId="0" borderId="0" xfId="0" applyNumberFormat="1">
      <alignment vertical="center"/>
    </xf>
    <xf numFmtId="1" fontId="0" fillId="0" borderId="5" xfId="0" applyNumberForma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5" xfId="3" applyBorder="1" applyAlignment="1">
      <alignment horizontal="center" vertical="center"/>
    </xf>
    <xf numFmtId="0" fontId="17" fillId="0" borderId="0" xfId="0" applyFont="1" applyBorder="1">
      <alignment vertical="center"/>
    </xf>
  </cellXfs>
  <cellStyles count="13">
    <cellStyle name="一般" xfId="0" builtinId="0"/>
    <cellStyle name="一般 2" xfId="3"/>
    <cellStyle name="一般 2 2" xfId="6"/>
    <cellStyle name="一般 2 3" xfId="5"/>
    <cellStyle name="一般 3" xfId="4"/>
    <cellStyle name="一般 4" xfId="2"/>
    <cellStyle name="合計 2" xfId="7"/>
    <cellStyle name="百分比" xfId="1" builtinId="5"/>
    <cellStyle name="連結的儲存格 2" xfId="8"/>
    <cellStyle name="輔色4 2" xfId="9"/>
    <cellStyle name="輔色5 2" xfId="10"/>
    <cellStyle name="標題 1 2" xfId="11"/>
    <cellStyle name="標題 2 2" xfId="12"/>
  </cellStyles>
  <dxfs count="13">
    <dxf>
      <fill>
        <patternFill patternType="solid">
          <bgColor rgb="FFFFFF00"/>
        </patternFill>
      </fill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19" formatCode="yyyy/m/d"/>
    </dxf>
    <dxf>
      <numFmt numFmtId="177" formatCode="&quot;$&quot;#,##0.00_);[Red]\(&quot;$&quot;#,##0.00\)"/>
    </dxf>
    <dxf>
      <numFmt numFmtId="177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車輛銷售!$B$2</c:f>
              <c:strCache>
                <c:ptCount val="1"/>
                <c:pt idx="0">
                  <c:v>一月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車輛銷售!$A$3:$A$6</c:f>
              <c:strCache>
                <c:ptCount val="4"/>
                <c:pt idx="0">
                  <c:v>福特</c:v>
                </c:pt>
                <c:pt idx="1">
                  <c:v>賓士</c:v>
                </c:pt>
                <c:pt idx="2">
                  <c:v>裕隆</c:v>
                </c:pt>
                <c:pt idx="3">
                  <c:v>三菱</c:v>
                </c:pt>
              </c:strCache>
            </c:strRef>
          </c:cat>
          <c:val>
            <c:numRef>
              <c:f>車輛銷售!$B$3:$B$6</c:f>
              <c:numCache>
                <c:formatCode>General</c:formatCode>
                <c:ptCount val="4"/>
                <c:pt idx="0">
                  <c:v>1215</c:v>
                </c:pt>
                <c:pt idx="1">
                  <c:v>983</c:v>
                </c:pt>
                <c:pt idx="2">
                  <c:v>1536</c:v>
                </c:pt>
                <c:pt idx="3">
                  <c:v>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4-41AD-B9BA-079E307F7730}"/>
            </c:ext>
          </c:extLst>
        </c:ser>
        <c:ser>
          <c:idx val="1"/>
          <c:order val="1"/>
          <c:tx>
            <c:strRef>
              <c:f>車輛銷售!$C$2</c:f>
              <c:strCache>
                <c:ptCount val="1"/>
                <c:pt idx="0">
                  <c:v>二月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車輛銷售!$A$3:$A$6</c:f>
              <c:strCache>
                <c:ptCount val="4"/>
                <c:pt idx="0">
                  <c:v>福特</c:v>
                </c:pt>
                <c:pt idx="1">
                  <c:v>賓士</c:v>
                </c:pt>
                <c:pt idx="2">
                  <c:v>裕隆</c:v>
                </c:pt>
                <c:pt idx="3">
                  <c:v>三菱</c:v>
                </c:pt>
              </c:strCache>
            </c:strRef>
          </c:cat>
          <c:val>
            <c:numRef>
              <c:f>車輛銷售!$C$3:$C$6</c:f>
              <c:numCache>
                <c:formatCode>General</c:formatCode>
                <c:ptCount val="4"/>
                <c:pt idx="0">
                  <c:v>985</c:v>
                </c:pt>
                <c:pt idx="1">
                  <c:v>745</c:v>
                </c:pt>
                <c:pt idx="2">
                  <c:v>962</c:v>
                </c:pt>
                <c:pt idx="3">
                  <c:v>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4-41AD-B9BA-079E307F7730}"/>
            </c:ext>
          </c:extLst>
        </c:ser>
        <c:ser>
          <c:idx val="2"/>
          <c:order val="2"/>
          <c:tx>
            <c:strRef>
              <c:f>車輛銷售!$D$2</c:f>
              <c:strCache>
                <c:ptCount val="1"/>
                <c:pt idx="0">
                  <c:v>三月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車輛銷售!$A$3:$A$6</c:f>
              <c:strCache>
                <c:ptCount val="4"/>
                <c:pt idx="0">
                  <c:v>福特</c:v>
                </c:pt>
                <c:pt idx="1">
                  <c:v>賓士</c:v>
                </c:pt>
                <c:pt idx="2">
                  <c:v>裕隆</c:v>
                </c:pt>
                <c:pt idx="3">
                  <c:v>三菱</c:v>
                </c:pt>
              </c:strCache>
            </c:strRef>
          </c:cat>
          <c:val>
            <c:numRef>
              <c:f>車輛銷售!$D$3:$D$6</c:f>
              <c:numCache>
                <c:formatCode>General</c:formatCode>
                <c:ptCount val="4"/>
                <c:pt idx="0">
                  <c:v>753</c:v>
                </c:pt>
                <c:pt idx="1">
                  <c:v>1250</c:v>
                </c:pt>
                <c:pt idx="2">
                  <c:v>1123</c:v>
                </c:pt>
                <c:pt idx="3">
                  <c:v>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4-41AD-B9BA-079E307F773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640895"/>
        <c:axId val="228644223"/>
      </c:barChart>
      <c:catAx>
        <c:axId val="22864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8644223"/>
        <c:crosses val="autoZero"/>
        <c:auto val="1"/>
        <c:lblAlgn val="ctr"/>
        <c:lblOffset val="100"/>
        <c:noMultiLvlLbl val="0"/>
      </c:catAx>
      <c:valAx>
        <c:axId val="228644223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8640895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武將能力!$B$2</c:f>
              <c:strCache>
                <c:ptCount val="1"/>
                <c:pt idx="0">
                  <c:v>趙雲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武將能力!$A$3:$A$7</c:f>
              <c:strCache>
                <c:ptCount val="5"/>
                <c:pt idx="0">
                  <c:v>統帥</c:v>
                </c:pt>
                <c:pt idx="1">
                  <c:v>武力</c:v>
                </c:pt>
                <c:pt idx="2">
                  <c:v>智力</c:v>
                </c:pt>
                <c:pt idx="3">
                  <c:v>政治</c:v>
                </c:pt>
                <c:pt idx="4">
                  <c:v>魅力</c:v>
                </c:pt>
              </c:strCache>
            </c:strRef>
          </c:cat>
          <c:val>
            <c:numRef>
              <c:f>武將能力!$B$3:$B$7</c:f>
              <c:numCache>
                <c:formatCode>General</c:formatCode>
                <c:ptCount val="5"/>
                <c:pt idx="0">
                  <c:v>91</c:v>
                </c:pt>
                <c:pt idx="1">
                  <c:v>96</c:v>
                </c:pt>
                <c:pt idx="2">
                  <c:v>76</c:v>
                </c:pt>
                <c:pt idx="3">
                  <c:v>65</c:v>
                </c:pt>
                <c:pt idx="4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F-4B28-BBEF-4BF957F024A7}"/>
            </c:ext>
          </c:extLst>
        </c:ser>
        <c:ser>
          <c:idx val="1"/>
          <c:order val="1"/>
          <c:tx>
            <c:strRef>
              <c:f>武將能力!$C$2</c:f>
              <c:strCache>
                <c:ptCount val="1"/>
                <c:pt idx="0">
                  <c:v>周瑜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武將能力!$A$3:$A$7</c:f>
              <c:strCache>
                <c:ptCount val="5"/>
                <c:pt idx="0">
                  <c:v>統帥</c:v>
                </c:pt>
                <c:pt idx="1">
                  <c:v>武力</c:v>
                </c:pt>
                <c:pt idx="2">
                  <c:v>智力</c:v>
                </c:pt>
                <c:pt idx="3">
                  <c:v>政治</c:v>
                </c:pt>
                <c:pt idx="4">
                  <c:v>魅力</c:v>
                </c:pt>
              </c:strCache>
            </c:strRef>
          </c:cat>
          <c:val>
            <c:numRef>
              <c:f>武將能力!$C$3:$C$7</c:f>
              <c:numCache>
                <c:formatCode>General</c:formatCode>
                <c:ptCount val="5"/>
                <c:pt idx="0">
                  <c:v>97</c:v>
                </c:pt>
                <c:pt idx="1">
                  <c:v>71</c:v>
                </c:pt>
                <c:pt idx="2">
                  <c:v>96</c:v>
                </c:pt>
                <c:pt idx="3">
                  <c:v>86</c:v>
                </c:pt>
                <c:pt idx="4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6F-4B28-BBEF-4BF957F024A7}"/>
            </c:ext>
          </c:extLst>
        </c:ser>
        <c:ser>
          <c:idx val="2"/>
          <c:order val="2"/>
          <c:tx>
            <c:strRef>
              <c:f>武將能力!$D$2</c:f>
              <c:strCache>
                <c:ptCount val="1"/>
                <c:pt idx="0">
                  <c:v>程遠志	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武將能力!$A$3:$A$7</c:f>
              <c:strCache>
                <c:ptCount val="5"/>
                <c:pt idx="0">
                  <c:v>統帥</c:v>
                </c:pt>
                <c:pt idx="1">
                  <c:v>武力</c:v>
                </c:pt>
                <c:pt idx="2">
                  <c:v>智力</c:v>
                </c:pt>
                <c:pt idx="3">
                  <c:v>政治</c:v>
                </c:pt>
                <c:pt idx="4">
                  <c:v>魅力</c:v>
                </c:pt>
              </c:strCache>
            </c:strRef>
          </c:cat>
          <c:val>
            <c:numRef>
              <c:f>武將能力!$D$3:$D$7</c:f>
              <c:numCache>
                <c:formatCode>General</c:formatCode>
                <c:ptCount val="5"/>
                <c:pt idx="0">
                  <c:v>69</c:v>
                </c:pt>
                <c:pt idx="1">
                  <c:v>74</c:v>
                </c:pt>
                <c:pt idx="2">
                  <c:v>17</c:v>
                </c:pt>
                <c:pt idx="3">
                  <c:v>24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6F-4B28-BBEF-4BF957F024A7}"/>
            </c:ext>
          </c:extLst>
        </c:ser>
        <c:ser>
          <c:idx val="3"/>
          <c:order val="3"/>
          <c:tx>
            <c:strRef>
              <c:f>武將能力!$E$2</c:f>
              <c:strCache>
                <c:ptCount val="1"/>
                <c:pt idx="0">
                  <c:v>劉禪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武將能力!$A$3:$A$7</c:f>
              <c:strCache>
                <c:ptCount val="5"/>
                <c:pt idx="0">
                  <c:v>統帥</c:v>
                </c:pt>
                <c:pt idx="1">
                  <c:v>武力</c:v>
                </c:pt>
                <c:pt idx="2">
                  <c:v>智力</c:v>
                </c:pt>
                <c:pt idx="3">
                  <c:v>政治</c:v>
                </c:pt>
                <c:pt idx="4">
                  <c:v>魅力</c:v>
                </c:pt>
              </c:strCache>
            </c:strRef>
          </c:cat>
          <c:val>
            <c:numRef>
              <c:f>武將能力!$E$3:$E$7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9</c:v>
                </c:pt>
                <c:pt idx="3">
                  <c:v>4</c:v>
                </c:pt>
                <c:pt idx="4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6F-4B28-BBEF-4BF957F02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9088528"/>
        <c:axId val="1589091024"/>
      </c:radarChart>
      <c:catAx>
        <c:axId val="1589088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89091024"/>
        <c:crosses val="autoZero"/>
        <c:auto val="1"/>
        <c:lblAlgn val="ctr"/>
        <c:lblOffset val="100"/>
        <c:noMultiLvlLbl val="0"/>
      </c:catAx>
      <c:valAx>
        <c:axId val="158909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8908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65638623530268"/>
          <c:y val="5.4726368159203981E-2"/>
          <c:w val="0.87465775733257223"/>
          <c:h val="0.712420966035961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車輛銷售!$B$2</c:f>
              <c:strCache>
                <c:ptCount val="1"/>
                <c:pt idx="0">
                  <c:v>一月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車輛銷售!$A$3:$A$6</c:f>
              <c:strCache>
                <c:ptCount val="4"/>
                <c:pt idx="0">
                  <c:v>福特</c:v>
                </c:pt>
                <c:pt idx="1">
                  <c:v>賓士</c:v>
                </c:pt>
                <c:pt idx="2">
                  <c:v>裕隆</c:v>
                </c:pt>
                <c:pt idx="3">
                  <c:v>三菱</c:v>
                </c:pt>
              </c:strCache>
            </c:strRef>
          </c:cat>
          <c:val>
            <c:numRef>
              <c:f>車輛銷售!$B$3:$B$6</c:f>
              <c:numCache>
                <c:formatCode>General</c:formatCode>
                <c:ptCount val="4"/>
                <c:pt idx="0">
                  <c:v>1215</c:v>
                </c:pt>
                <c:pt idx="1">
                  <c:v>983</c:v>
                </c:pt>
                <c:pt idx="2">
                  <c:v>1536</c:v>
                </c:pt>
                <c:pt idx="3">
                  <c:v>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4-4A31-9DB9-AA61D2BCFB56}"/>
            </c:ext>
          </c:extLst>
        </c:ser>
        <c:ser>
          <c:idx val="1"/>
          <c:order val="1"/>
          <c:tx>
            <c:strRef>
              <c:f>車輛銷售!$C$2</c:f>
              <c:strCache>
                <c:ptCount val="1"/>
                <c:pt idx="0">
                  <c:v>二月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車輛銷售!$A$3:$A$6</c:f>
              <c:strCache>
                <c:ptCount val="4"/>
                <c:pt idx="0">
                  <c:v>福特</c:v>
                </c:pt>
                <c:pt idx="1">
                  <c:v>賓士</c:v>
                </c:pt>
                <c:pt idx="2">
                  <c:v>裕隆</c:v>
                </c:pt>
                <c:pt idx="3">
                  <c:v>三菱</c:v>
                </c:pt>
              </c:strCache>
            </c:strRef>
          </c:cat>
          <c:val>
            <c:numRef>
              <c:f>車輛銷售!$C$3:$C$6</c:f>
              <c:numCache>
                <c:formatCode>General</c:formatCode>
                <c:ptCount val="4"/>
                <c:pt idx="0">
                  <c:v>985</c:v>
                </c:pt>
                <c:pt idx="1">
                  <c:v>745</c:v>
                </c:pt>
                <c:pt idx="2">
                  <c:v>962</c:v>
                </c:pt>
                <c:pt idx="3">
                  <c:v>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04-4A31-9DB9-AA61D2BCFB56}"/>
            </c:ext>
          </c:extLst>
        </c:ser>
        <c:ser>
          <c:idx val="2"/>
          <c:order val="2"/>
          <c:tx>
            <c:strRef>
              <c:f>車輛銷售!$D$2</c:f>
              <c:strCache>
                <c:ptCount val="1"/>
                <c:pt idx="0">
                  <c:v>三月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車輛銷售!$A$3:$A$6</c:f>
              <c:strCache>
                <c:ptCount val="4"/>
                <c:pt idx="0">
                  <c:v>福特</c:v>
                </c:pt>
                <c:pt idx="1">
                  <c:v>賓士</c:v>
                </c:pt>
                <c:pt idx="2">
                  <c:v>裕隆</c:v>
                </c:pt>
                <c:pt idx="3">
                  <c:v>三菱</c:v>
                </c:pt>
              </c:strCache>
            </c:strRef>
          </c:cat>
          <c:val>
            <c:numRef>
              <c:f>車輛銷售!$D$3:$D$6</c:f>
              <c:numCache>
                <c:formatCode>General</c:formatCode>
                <c:ptCount val="4"/>
                <c:pt idx="0">
                  <c:v>753</c:v>
                </c:pt>
                <c:pt idx="1">
                  <c:v>1250</c:v>
                </c:pt>
                <c:pt idx="2">
                  <c:v>1123</c:v>
                </c:pt>
                <c:pt idx="3">
                  <c:v>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04-4A31-9DB9-AA61D2BCF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7415816"/>
        <c:axId val="747418112"/>
      </c:barChart>
      <c:catAx>
        <c:axId val="747415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47418112"/>
        <c:crosses val="autoZero"/>
        <c:auto val="1"/>
        <c:lblAlgn val="ctr"/>
        <c:lblOffset val="100"/>
        <c:noMultiLvlLbl val="0"/>
      </c:catAx>
      <c:valAx>
        <c:axId val="747418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47415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武將能力!$C$2</c:f>
              <c:strCache>
                <c:ptCount val="1"/>
                <c:pt idx="0">
                  <c:v>周瑜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武將能力!$A$3:$A$7</c:f>
              <c:strCache>
                <c:ptCount val="5"/>
                <c:pt idx="0">
                  <c:v>統帥</c:v>
                </c:pt>
                <c:pt idx="1">
                  <c:v>武力</c:v>
                </c:pt>
                <c:pt idx="2">
                  <c:v>智力</c:v>
                </c:pt>
                <c:pt idx="3">
                  <c:v>政治</c:v>
                </c:pt>
                <c:pt idx="4">
                  <c:v>魅力</c:v>
                </c:pt>
              </c:strCache>
            </c:strRef>
          </c:cat>
          <c:val>
            <c:numRef>
              <c:f>武將能力!$C$3:$C$7</c:f>
              <c:numCache>
                <c:formatCode>General</c:formatCode>
                <c:ptCount val="5"/>
                <c:pt idx="0">
                  <c:v>97</c:v>
                </c:pt>
                <c:pt idx="1">
                  <c:v>71</c:v>
                </c:pt>
                <c:pt idx="2">
                  <c:v>96</c:v>
                </c:pt>
                <c:pt idx="3">
                  <c:v>86</c:v>
                </c:pt>
                <c:pt idx="4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9-44E2-A7F6-8D05A0ED1A42}"/>
            </c:ext>
          </c:extLst>
        </c:ser>
        <c:ser>
          <c:idx val="1"/>
          <c:order val="1"/>
          <c:tx>
            <c:strRef>
              <c:f>武將能力!$B$2</c:f>
              <c:strCache>
                <c:ptCount val="1"/>
                <c:pt idx="0">
                  <c:v>趙雲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武將能力!$A$3:$A$7</c:f>
              <c:strCache>
                <c:ptCount val="5"/>
                <c:pt idx="0">
                  <c:v>統帥</c:v>
                </c:pt>
                <c:pt idx="1">
                  <c:v>武力</c:v>
                </c:pt>
                <c:pt idx="2">
                  <c:v>智力</c:v>
                </c:pt>
                <c:pt idx="3">
                  <c:v>政治</c:v>
                </c:pt>
                <c:pt idx="4">
                  <c:v>魅力</c:v>
                </c:pt>
              </c:strCache>
            </c:strRef>
          </c:cat>
          <c:val>
            <c:numRef>
              <c:f>武將能力!$B$3:$B$7</c:f>
              <c:numCache>
                <c:formatCode>General</c:formatCode>
                <c:ptCount val="5"/>
                <c:pt idx="0">
                  <c:v>91</c:v>
                </c:pt>
                <c:pt idx="1">
                  <c:v>96</c:v>
                </c:pt>
                <c:pt idx="2">
                  <c:v>76</c:v>
                </c:pt>
                <c:pt idx="3">
                  <c:v>65</c:v>
                </c:pt>
                <c:pt idx="4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C9-44E2-A7F6-8D05A0ED1A42}"/>
            </c:ext>
          </c:extLst>
        </c:ser>
        <c:ser>
          <c:idx val="2"/>
          <c:order val="2"/>
          <c:tx>
            <c:strRef>
              <c:f>武將能力!$D$2</c:f>
              <c:strCache>
                <c:ptCount val="1"/>
                <c:pt idx="0">
                  <c:v>程遠志	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武將能力!$A$3:$A$7</c:f>
              <c:strCache>
                <c:ptCount val="5"/>
                <c:pt idx="0">
                  <c:v>統帥</c:v>
                </c:pt>
                <c:pt idx="1">
                  <c:v>武力</c:v>
                </c:pt>
                <c:pt idx="2">
                  <c:v>智力</c:v>
                </c:pt>
                <c:pt idx="3">
                  <c:v>政治</c:v>
                </c:pt>
                <c:pt idx="4">
                  <c:v>魅力</c:v>
                </c:pt>
              </c:strCache>
            </c:strRef>
          </c:cat>
          <c:val>
            <c:numRef>
              <c:f>武將能力!$D$3:$D$7</c:f>
              <c:numCache>
                <c:formatCode>General</c:formatCode>
                <c:ptCount val="5"/>
                <c:pt idx="0">
                  <c:v>69</c:v>
                </c:pt>
                <c:pt idx="1">
                  <c:v>74</c:v>
                </c:pt>
                <c:pt idx="2">
                  <c:v>17</c:v>
                </c:pt>
                <c:pt idx="3">
                  <c:v>24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C9-44E2-A7F6-8D05A0ED1A42}"/>
            </c:ext>
          </c:extLst>
        </c:ser>
        <c:ser>
          <c:idx val="3"/>
          <c:order val="3"/>
          <c:tx>
            <c:strRef>
              <c:f>武將能力!$E$2</c:f>
              <c:strCache>
                <c:ptCount val="1"/>
                <c:pt idx="0">
                  <c:v>劉禪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武將能力!$A$3:$A$7</c:f>
              <c:strCache>
                <c:ptCount val="5"/>
                <c:pt idx="0">
                  <c:v>統帥</c:v>
                </c:pt>
                <c:pt idx="1">
                  <c:v>武力</c:v>
                </c:pt>
                <c:pt idx="2">
                  <c:v>智力</c:v>
                </c:pt>
                <c:pt idx="3">
                  <c:v>政治</c:v>
                </c:pt>
                <c:pt idx="4">
                  <c:v>魅力</c:v>
                </c:pt>
              </c:strCache>
            </c:strRef>
          </c:cat>
          <c:val>
            <c:numRef>
              <c:f>武將能力!$E$3:$E$7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9</c:v>
                </c:pt>
                <c:pt idx="3">
                  <c:v>4</c:v>
                </c:pt>
                <c:pt idx="4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C9-44E2-A7F6-8D05A0ED1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114952"/>
        <c:axId val="786114296"/>
      </c:radarChart>
      <c:catAx>
        <c:axId val="786114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6114296"/>
        <c:crosses val="autoZero"/>
        <c:auto val="1"/>
        <c:lblAlgn val="ctr"/>
        <c:lblOffset val="100"/>
        <c:noMultiLvlLbl val="0"/>
      </c:catAx>
      <c:valAx>
        <c:axId val="786114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6114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0</xdr:row>
      <xdr:rowOff>42862</xdr:rowOff>
    </xdr:from>
    <xdr:to>
      <xdr:col>12</xdr:col>
      <xdr:colOff>504825</xdr:colOff>
      <xdr:row>13</xdr:row>
      <xdr:rowOff>61912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500062</xdr:colOff>
      <xdr:row>0</xdr:row>
      <xdr:rowOff>185737</xdr:rowOff>
    </xdr:from>
    <xdr:to>
      <xdr:col>12</xdr:col>
      <xdr:colOff>271462</xdr:colOff>
      <xdr:row>13</xdr:row>
      <xdr:rowOff>204787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31</xdr:row>
      <xdr:rowOff>95250</xdr:rowOff>
    </xdr:from>
    <xdr:to>
      <xdr:col>4</xdr:col>
      <xdr:colOff>190500</xdr:colOff>
      <xdr:row>41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4FF6DA5-55CB-4A82-914C-4CA1F35EE9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123825</xdr:colOff>
      <xdr:row>43</xdr:row>
      <xdr:rowOff>76200</xdr:rowOff>
    </xdr:from>
    <xdr:to>
      <xdr:col>3</xdr:col>
      <xdr:colOff>304800</xdr:colOff>
      <xdr:row>56</xdr:row>
      <xdr:rowOff>157163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10152061-0695-408D-9190-703DE80F0A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xon.KENDA\Desktop\excel&#19968;&#40670;&#36890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xon[莊聖瑋]" refreshedDate="43906.634206249997" createdVersion="6" refreshedVersion="6" minRefreshableVersion="3" recordCount="12">
  <cacheSource type="worksheet">
    <worksheetSource ref="A1:J13" sheet="樞紐" r:id="rId2"/>
  </cacheSource>
  <cacheFields count="12">
    <cacheField name="編號" numFmtId="0">
      <sharedItems/>
    </cacheField>
    <cacheField name="姓名" numFmtId="0">
      <sharedItems/>
    </cacheField>
    <cacheField name="性別" numFmtId="0">
      <sharedItems count="2">
        <s v="女"/>
        <s v="男"/>
      </sharedItems>
    </cacheField>
    <cacheField name="部門" numFmtId="0">
      <sharedItems count="3">
        <s v="業務"/>
        <s v="會計"/>
        <s v="門市"/>
      </sharedItems>
    </cacheField>
    <cacheField name="職稱" numFmtId="0">
      <sharedItems/>
    </cacheField>
    <cacheField name="生日" numFmtId="14">
      <sharedItems containsSemiMixedTypes="0" containsNonDate="0" containsDate="1" containsString="0" minDate="1971-08-01T00:00:00" maxDate="1988-12-14T00:00:00" count="12">
        <d v="1973-06-08T00:00:00"/>
        <d v="1985-03-05T00:00:00"/>
        <d v="1980-08-28T00:00:00"/>
        <d v="1981-12-07T00:00:00"/>
        <d v="1971-08-01T00:00:00"/>
        <d v="1980-11-08T00:00:00"/>
        <d v="1987-09-04T00:00:00"/>
        <d v="1988-05-16T00:00:00"/>
        <d v="1988-12-13T00:00:00"/>
        <d v="1983-12-04T00:00:00"/>
        <d v="1983-05-05T00:00:00"/>
        <d v="1978-08-30T00:00:00"/>
      </sharedItems>
      <fieldGroup par="11" base="5">
        <rangePr groupBy="months" startDate="1971-08-01T00:00:00" endDate="1988-12-14T00:00:00"/>
        <groupItems count="14">
          <s v="&lt;1971/8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1988/12/14"/>
        </groupItems>
      </fieldGroup>
    </cacheField>
    <cacheField name="婚姻" numFmtId="0">
      <sharedItems/>
    </cacheField>
    <cacheField name="教育" numFmtId="0">
      <sharedItems containsSemiMixedTypes="0" containsString="0" containsNumber="1" containsInteger="1" minValue="2" maxValue="5"/>
    </cacheField>
    <cacheField name="年齡" numFmtId="0">
      <sharedItems containsSemiMixedTypes="0" containsString="0" containsNumber="1" containsInteger="1" minValue="26" maxValue="43"/>
    </cacheField>
    <cacheField name="薪資" numFmtId="3">
      <sharedItems containsSemiMixedTypes="0" containsString="0" containsNumber="1" containsInteger="1" minValue="41800" maxValue="62050"/>
    </cacheField>
    <cacheField name="季" numFmtId="0" databaseField="0">
      <fieldGroup base="5">
        <rangePr groupBy="quarters" startDate="1971-08-01T00:00:00" endDate="1988-12-14T00:00:00"/>
        <groupItems count="6">
          <s v="&lt;1971/8/1"/>
          <s v="第一季"/>
          <s v="第二季"/>
          <s v="第三季"/>
          <s v="第四季"/>
          <s v="&gt;1988/12/14"/>
        </groupItems>
      </fieldGroup>
    </cacheField>
    <cacheField name="年" numFmtId="0" databaseField="0">
      <fieldGroup base="5">
        <rangePr groupBy="years" startDate="1971-08-01T00:00:00" endDate="1988-12-14T00:00:00"/>
        <groupItems count="20">
          <s v="&lt;1971/8/1"/>
          <s v="1971年"/>
          <s v="1972年"/>
          <s v="1973年"/>
          <s v="1974年"/>
          <s v="1975年"/>
          <s v="1976年"/>
          <s v="1977年"/>
          <s v="1978年"/>
          <s v="1979年"/>
          <s v="1980年"/>
          <s v="1981年"/>
          <s v="1982年"/>
          <s v="1983年"/>
          <s v="1984年"/>
          <s v="1985年"/>
          <s v="1986年"/>
          <s v="1987年"/>
          <s v="1988年"/>
          <s v="&gt;1988/12/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jsiao[蕭瑞展]" refreshedDate="46262.359993171296" createdVersion="6" refreshedVersion="6" minRefreshableVersion="3" recordCount="13">
  <cacheSource type="worksheet">
    <worksheetSource name="salary"/>
  </cacheSource>
  <cacheFields count="10">
    <cacheField name="編號" numFmtId="0">
      <sharedItems/>
    </cacheField>
    <cacheField name="姓名" numFmtId="0">
      <sharedItems/>
    </cacheField>
    <cacheField name="性別" numFmtId="0">
      <sharedItems count="2">
        <s v="女"/>
        <s v="男"/>
      </sharedItems>
    </cacheField>
    <cacheField name="部門" numFmtId="0">
      <sharedItems count="3">
        <s v="業務"/>
        <s v="會計"/>
        <s v="門市"/>
      </sharedItems>
    </cacheField>
    <cacheField name="職稱" numFmtId="0">
      <sharedItems/>
    </cacheField>
    <cacheField name="生日" numFmtId="14">
      <sharedItems containsSemiMixedTypes="0" containsNonDate="0" containsDate="1" containsString="0" minDate="1971-08-01T00:00:00" maxDate="1988-12-14T00:00:00"/>
    </cacheField>
    <cacheField name="婚姻" numFmtId="0">
      <sharedItems/>
    </cacheField>
    <cacheField name="教育" numFmtId="0">
      <sharedItems containsSemiMixedTypes="0" containsString="0" containsNumber="1" containsInteger="1" minValue="2" maxValue="5"/>
    </cacheField>
    <cacheField name="年齡" numFmtId="0">
      <sharedItems containsSemiMixedTypes="0" containsString="0" containsNumber="1" containsInteger="1" minValue="26" maxValue="43"/>
    </cacheField>
    <cacheField name="薪資" numFmtId="3">
      <sharedItems containsSemiMixedTypes="0" containsString="0" containsNumber="1" containsInteger="1" minValue="41800" maxValue="620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M01"/>
    <s v="吳明美"/>
    <x v="0"/>
    <x v="0"/>
    <s v="主任"/>
    <x v="0"/>
    <s v="已婚"/>
    <n v="4"/>
    <n v="41"/>
    <n v="62050"/>
  </r>
  <r>
    <s v="A02"/>
    <s v="呂玉鳳"/>
    <x v="0"/>
    <x v="1"/>
    <s v="主任"/>
    <x v="1"/>
    <s v="已婚"/>
    <n v="4"/>
    <n v="29"/>
    <n v="61450"/>
  </r>
  <r>
    <s v="S01"/>
    <s v="孫國寧"/>
    <x v="0"/>
    <x v="2"/>
    <s v="主任"/>
    <x v="2"/>
    <s v="已婚"/>
    <n v="3"/>
    <n v="34"/>
    <n v="56700"/>
  </r>
  <r>
    <s v="M03"/>
    <s v="蘇儀義"/>
    <x v="1"/>
    <x v="0"/>
    <s v="專員"/>
    <x v="3"/>
    <s v="已婚"/>
    <n v="5"/>
    <n v="33"/>
    <n v="56650"/>
  </r>
  <r>
    <s v="A05"/>
    <s v="林美惠"/>
    <x v="0"/>
    <x v="1"/>
    <s v="專員"/>
    <x v="4"/>
    <s v="已婚"/>
    <n v="4"/>
    <n v="43"/>
    <n v="52150"/>
  </r>
  <r>
    <s v="M08"/>
    <s v="劉銘川"/>
    <x v="1"/>
    <x v="0"/>
    <s v="專員"/>
    <x v="5"/>
    <s v="已婚"/>
    <n v="4"/>
    <n v="34"/>
    <n v="51700"/>
  </r>
  <r>
    <s v="M07"/>
    <s v="林美珍"/>
    <x v="0"/>
    <x v="0"/>
    <s v="專員"/>
    <x v="6"/>
    <s v="未婚"/>
    <n v="4"/>
    <n v="27"/>
    <n v="51350"/>
  </r>
  <r>
    <s v="M04"/>
    <s v="黃啟川"/>
    <x v="1"/>
    <x v="0"/>
    <s v="專員"/>
    <x v="7"/>
    <s v="未婚"/>
    <n v="4"/>
    <n v="26"/>
    <n v="51300"/>
  </r>
  <r>
    <s v="M08"/>
    <s v="梁國棟"/>
    <x v="1"/>
    <x v="0"/>
    <s v="專員"/>
    <x v="8"/>
    <s v="未婚"/>
    <n v="4"/>
    <n v="26"/>
    <n v="51300"/>
  </r>
  <r>
    <s v="A04"/>
    <s v="蕭惠真"/>
    <x v="0"/>
    <x v="1"/>
    <s v="專員"/>
    <x v="9"/>
    <s v="已婚"/>
    <n v="3"/>
    <n v="31"/>
    <n v="46550"/>
  </r>
  <r>
    <s v="M05"/>
    <s v="林龍盛"/>
    <x v="1"/>
    <x v="0"/>
    <s v="專員"/>
    <x v="10"/>
    <s v="未婚"/>
    <n v="3"/>
    <n v="31"/>
    <n v="46550"/>
  </r>
  <r>
    <s v="S03"/>
    <s v="楊惠芬"/>
    <x v="0"/>
    <x v="2"/>
    <s v="專員"/>
    <x v="11"/>
    <s v="未婚"/>
    <n v="2"/>
    <n v="36"/>
    <n v="418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">
  <r>
    <s v="M01"/>
    <s v="吳明美"/>
    <x v="0"/>
    <x v="0"/>
    <s v="主任"/>
    <d v="1973-06-08T00:00:00"/>
    <s v="已婚"/>
    <n v="4"/>
    <n v="41"/>
    <n v="62050"/>
  </r>
  <r>
    <s v="A02"/>
    <s v="呂玉鳳"/>
    <x v="0"/>
    <x v="1"/>
    <s v="主任"/>
    <d v="1985-03-05T00:00:00"/>
    <s v="已婚"/>
    <n v="4"/>
    <n v="29"/>
    <n v="61450"/>
  </r>
  <r>
    <s v="S01"/>
    <s v="孫國寧"/>
    <x v="0"/>
    <x v="2"/>
    <s v="主任"/>
    <d v="1980-08-28T00:00:00"/>
    <s v="已婚"/>
    <n v="3"/>
    <n v="34"/>
    <n v="56700"/>
  </r>
  <r>
    <s v="M03"/>
    <s v="蘇儀義"/>
    <x v="1"/>
    <x v="0"/>
    <s v="專員"/>
    <d v="1981-12-07T00:00:00"/>
    <s v="已婚"/>
    <n v="5"/>
    <n v="33"/>
    <n v="56650"/>
  </r>
  <r>
    <s v="A05"/>
    <s v="林美惠"/>
    <x v="0"/>
    <x v="1"/>
    <s v="專員"/>
    <d v="1971-08-01T00:00:00"/>
    <s v="已婚"/>
    <n v="4"/>
    <n v="43"/>
    <n v="52150"/>
  </r>
  <r>
    <s v="M08"/>
    <s v="劉銘川"/>
    <x v="1"/>
    <x v="0"/>
    <s v="專員"/>
    <d v="1980-11-08T00:00:00"/>
    <s v="已婚"/>
    <n v="4"/>
    <n v="34"/>
    <n v="51700"/>
  </r>
  <r>
    <s v="M07"/>
    <s v="林美珍"/>
    <x v="0"/>
    <x v="0"/>
    <s v="專員"/>
    <d v="1987-09-04T00:00:00"/>
    <s v="未婚"/>
    <n v="4"/>
    <n v="27"/>
    <n v="51350"/>
  </r>
  <r>
    <s v="M04"/>
    <s v="黃啟川"/>
    <x v="1"/>
    <x v="0"/>
    <s v="專員"/>
    <d v="1988-05-16T00:00:00"/>
    <s v="未婚"/>
    <n v="4"/>
    <n v="26"/>
    <n v="51300"/>
  </r>
  <r>
    <s v="M08"/>
    <s v="梁國棟"/>
    <x v="1"/>
    <x v="0"/>
    <s v="專員"/>
    <d v="1988-12-13T00:00:00"/>
    <s v="未婚"/>
    <n v="4"/>
    <n v="26"/>
    <n v="51300"/>
  </r>
  <r>
    <s v="A04"/>
    <s v="蕭惠真"/>
    <x v="0"/>
    <x v="1"/>
    <s v="專員"/>
    <d v="1983-12-04T00:00:00"/>
    <s v="已婚"/>
    <n v="3"/>
    <n v="31"/>
    <n v="46550"/>
  </r>
  <r>
    <s v="M05"/>
    <s v="林龍盛"/>
    <x v="1"/>
    <x v="0"/>
    <s v="專員"/>
    <d v="1983-05-05T00:00:00"/>
    <s v="未婚"/>
    <n v="3"/>
    <n v="31"/>
    <n v="46550"/>
  </r>
  <r>
    <s v="S03"/>
    <s v="楊惠芬"/>
    <x v="0"/>
    <x v="2"/>
    <s v="專員"/>
    <d v="1978-08-30T00:00:00"/>
    <s v="未婚"/>
    <n v="2"/>
    <n v="36"/>
    <n v="41800"/>
  </r>
  <r>
    <s v="S00"/>
    <s v="林龍盛"/>
    <x v="1"/>
    <x v="0"/>
    <s v="專員"/>
    <d v="1983-05-05T00:00:00"/>
    <s v="未婚"/>
    <n v="3"/>
    <n v="31"/>
    <n v="465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2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>
  <location ref="L1:N5" firstHeaderRow="1" firstDataRow="2" firstDataCol="1"/>
  <pivotFields count="10">
    <pivotField showAll="0"/>
    <pivotField showAll="0"/>
    <pivotField axis="axisRow" showAll="0">
      <items count="3">
        <item x="0"/>
        <item x="1"/>
        <item t="default"/>
      </items>
    </pivotField>
    <pivotField axis="axisCol" showAll="0">
      <items count="4">
        <item h="1" x="2"/>
        <item h="1" x="1"/>
        <item x="0"/>
        <item t="default"/>
      </items>
    </pivotField>
    <pivotField showAll="0"/>
    <pivotField numFmtId="14" showAll="0"/>
    <pivotField showAll="0"/>
    <pivotField showAll="0"/>
    <pivotField showAll="0"/>
    <pivotField dataField="1" numFmtId="3" showAll="0"/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2">
    <i>
      <x v="2"/>
    </i>
    <i t="grand">
      <x/>
    </i>
  </colItems>
  <dataFields count="1">
    <dataField name="平均值 - 薪資" fld="9" subtotal="average" baseField="2" baseItem="0"/>
  </dataFields>
  <formats count="2">
    <format dxfId="12">
      <pivotArea collapsedLevelsAreSubtotals="1" fieldPosition="0">
        <references count="1">
          <reference field="2" count="0"/>
        </references>
      </pivotArea>
    </format>
    <format dxfId="1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樞紐分析表20" cacheId="1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 chartFormat="1">
  <location ref="A2:C6" firstHeaderRow="1" firstDataRow="2" firstDataCol="1"/>
  <pivotFields count="12">
    <pivotField showAll="0"/>
    <pivotField showAll="0"/>
    <pivotField axis="axisRow" showAll="0">
      <items count="3">
        <item x="0"/>
        <item x="1"/>
        <item t="default"/>
      </items>
    </pivotField>
    <pivotField axis="axisCol" showAll="0">
      <items count="4">
        <item h="1" x="2"/>
        <item h="1" x="1"/>
        <item x="0"/>
        <item t="default"/>
      </items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numFmtId="3" showAll="0"/>
    <pivotField showAll="0">
      <items count="7">
        <item sd="0" x="0"/>
        <item sd="0" x="1"/>
        <item x="2"/>
        <item sd="0" x="3"/>
        <item x="4"/>
        <item sd="0" x="5"/>
        <item t="default"/>
      </items>
    </pivotField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2">
    <i>
      <x v="2"/>
    </i>
    <i t="grand">
      <x/>
    </i>
  </colItems>
  <dataFields count="1">
    <dataField name="平均值 - 薪資" fld="9" subtotal="average" baseField="4" baseItem="1" numFmtId="176"/>
  </dataFields>
  <formats count="1">
    <format dxfId="0">
      <pivotArea collapsedLevelsAreSubtotals="1" fieldPosition="0">
        <references count="2">
          <reference field="2" count="0"/>
          <reference field="3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salary" displayName="salary" ref="A1:J13" totalsRowShown="0">
  <autoFilter ref="A1:J13"/>
  <tableColumns count="10">
    <tableColumn id="1" name="編號"/>
    <tableColumn id="2" name="姓名"/>
    <tableColumn id="3" name="性別"/>
    <tableColumn id="4" name="部門"/>
    <tableColumn id="5" name="職稱"/>
    <tableColumn id="6" name="生日" dataDxfId="10"/>
    <tableColumn id="7" name="婚姻"/>
    <tableColumn id="8" name="教育"/>
    <tableColumn id="9" name="年齡"/>
    <tableColumn id="10" name="薪資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表格2" displayName="表格2" ref="A2:G15" totalsRowShown="0" headerRowDxfId="8">
  <autoFilter ref="A2:G15">
    <filterColumn colId="6">
      <customFilters>
        <customFilter operator="greaterThan" val="70"/>
      </customFilters>
    </filterColumn>
  </autoFilter>
  <sortState ref="A3:G15">
    <sortCondition descending="1" ref="G3:G15"/>
  </sortState>
  <tableColumns count="7">
    <tableColumn id="1" name="學生姓名" dataDxfId="7"/>
    <tableColumn id="2" name="英文" dataDxfId="6"/>
    <tableColumn id="3" name="經濟" dataDxfId="5"/>
    <tableColumn id="4" name="統計" dataDxfId="4"/>
    <tableColumn id="5" name="行銷學" dataDxfId="3"/>
    <tableColumn id="6" name="管理學" dataDxfId="2"/>
    <tableColumn id="7" name="個人平均" dataDxfId="1">
      <calculatedColumnFormula>AVERAGE(表格2[[#This Row],[英文]:[管理學]])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activeCell="M4" sqref="M4"/>
    </sheetView>
  </sheetViews>
  <sheetFormatPr defaultRowHeight="16.5"/>
  <cols>
    <col min="1" max="1" width="7" customWidth="1"/>
    <col min="2" max="2" width="7.5" bestFit="1" customWidth="1"/>
    <col min="3" max="5" width="7" customWidth="1"/>
    <col min="6" max="6" width="10.5" bestFit="1" customWidth="1"/>
    <col min="7" max="9" width="7" customWidth="1"/>
    <col min="10" max="10" width="7" bestFit="1" customWidth="1"/>
    <col min="12" max="12" width="14.875" customWidth="1"/>
    <col min="13" max="14" width="13" customWidth="1"/>
    <col min="15" max="16" width="8.5" customWidth="1"/>
  </cols>
  <sheetData>
    <row r="1" spans="1:14">
      <c r="A1" t="s">
        <v>28</v>
      </c>
      <c r="B1" t="s">
        <v>0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L1" s="17" t="s">
        <v>71</v>
      </c>
      <c r="M1" s="17" t="s">
        <v>70</v>
      </c>
    </row>
    <row r="2" spans="1:14">
      <c r="A2" t="s">
        <v>37</v>
      </c>
      <c r="B2" t="s">
        <v>38</v>
      </c>
      <c r="C2" t="s">
        <v>39</v>
      </c>
      <c r="D2" t="s">
        <v>40</v>
      </c>
      <c r="E2" t="s">
        <v>41</v>
      </c>
      <c r="F2" s="2">
        <v>26823</v>
      </c>
      <c r="G2" t="s">
        <v>42</v>
      </c>
      <c r="H2">
        <v>4</v>
      </c>
      <c r="I2">
        <v>41</v>
      </c>
      <c r="J2" s="3">
        <v>62050</v>
      </c>
      <c r="L2" s="17" t="s">
        <v>69</v>
      </c>
      <c r="M2" t="s">
        <v>40</v>
      </c>
      <c r="N2" t="s">
        <v>17</v>
      </c>
    </row>
    <row r="3" spans="1:14">
      <c r="A3" t="s">
        <v>43</v>
      </c>
      <c r="B3" t="s">
        <v>44</v>
      </c>
      <c r="C3" t="s">
        <v>39</v>
      </c>
      <c r="D3" t="s">
        <v>45</v>
      </c>
      <c r="E3" t="s">
        <v>41</v>
      </c>
      <c r="F3" s="2">
        <v>31111</v>
      </c>
      <c r="G3" t="s">
        <v>42</v>
      </c>
      <c r="H3">
        <v>4</v>
      </c>
      <c r="I3">
        <v>29</v>
      </c>
      <c r="J3" s="3">
        <v>61450</v>
      </c>
      <c r="L3" s="4" t="s">
        <v>39</v>
      </c>
      <c r="M3" s="18">
        <v>56700</v>
      </c>
      <c r="N3" s="18">
        <v>56700</v>
      </c>
    </row>
    <row r="4" spans="1:14">
      <c r="A4" t="s">
        <v>46</v>
      </c>
      <c r="B4" t="s">
        <v>47</v>
      </c>
      <c r="C4" t="s">
        <v>39</v>
      </c>
      <c r="D4" t="s">
        <v>48</v>
      </c>
      <c r="E4" t="s">
        <v>41</v>
      </c>
      <c r="F4" s="2">
        <v>29461</v>
      </c>
      <c r="G4" t="s">
        <v>42</v>
      </c>
      <c r="H4">
        <v>3</v>
      </c>
      <c r="I4">
        <v>34</v>
      </c>
      <c r="J4" s="3">
        <v>56700</v>
      </c>
      <c r="L4" s="4" t="s">
        <v>51</v>
      </c>
      <c r="M4" s="18">
        <v>50675</v>
      </c>
      <c r="N4" s="18">
        <v>50675</v>
      </c>
    </row>
    <row r="5" spans="1:14">
      <c r="A5" t="s">
        <v>49</v>
      </c>
      <c r="B5" t="s">
        <v>50</v>
      </c>
      <c r="C5" t="s">
        <v>51</v>
      </c>
      <c r="D5" t="s">
        <v>40</v>
      </c>
      <c r="E5" t="s">
        <v>52</v>
      </c>
      <c r="F5" s="2">
        <v>29927</v>
      </c>
      <c r="G5" t="s">
        <v>42</v>
      </c>
      <c r="H5">
        <v>5</v>
      </c>
      <c r="I5">
        <v>33</v>
      </c>
      <c r="J5" s="3">
        <v>56650</v>
      </c>
      <c r="L5" s="4" t="s">
        <v>17</v>
      </c>
      <c r="M5" s="18">
        <v>52181.25</v>
      </c>
      <c r="N5" s="18">
        <v>52181.25</v>
      </c>
    </row>
    <row r="6" spans="1:14">
      <c r="A6" t="s">
        <v>53</v>
      </c>
      <c r="B6" t="s">
        <v>54</v>
      </c>
      <c r="C6" t="s">
        <v>39</v>
      </c>
      <c r="D6" t="s">
        <v>45</v>
      </c>
      <c r="E6" t="s">
        <v>52</v>
      </c>
      <c r="F6" s="2">
        <v>26146</v>
      </c>
      <c r="G6" t="s">
        <v>42</v>
      </c>
      <c r="H6">
        <v>4</v>
      </c>
      <c r="I6">
        <v>43</v>
      </c>
      <c r="J6" s="3">
        <v>52150</v>
      </c>
    </row>
    <row r="7" spans="1:14">
      <c r="A7" t="s">
        <v>55</v>
      </c>
      <c r="B7" t="s">
        <v>56</v>
      </c>
      <c r="C7" t="s">
        <v>51</v>
      </c>
      <c r="D7" t="s">
        <v>40</v>
      </c>
      <c r="E7" t="s">
        <v>52</v>
      </c>
      <c r="F7" s="2">
        <v>29533</v>
      </c>
      <c r="G7" t="s">
        <v>42</v>
      </c>
      <c r="H7">
        <v>4</v>
      </c>
      <c r="I7">
        <v>34</v>
      </c>
      <c r="J7" s="3">
        <v>51700</v>
      </c>
    </row>
    <row r="8" spans="1:14">
      <c r="A8" t="s">
        <v>57</v>
      </c>
      <c r="B8" t="s">
        <v>58</v>
      </c>
      <c r="C8" t="s">
        <v>39</v>
      </c>
      <c r="D8" t="s">
        <v>40</v>
      </c>
      <c r="E8" t="s">
        <v>52</v>
      </c>
      <c r="F8" s="2">
        <v>32024</v>
      </c>
      <c r="G8" t="s">
        <v>59</v>
      </c>
      <c r="H8">
        <v>4</v>
      </c>
      <c r="I8">
        <v>27</v>
      </c>
      <c r="J8" s="3">
        <v>51350</v>
      </c>
    </row>
    <row r="9" spans="1:14">
      <c r="A9" t="s">
        <v>60</v>
      </c>
      <c r="B9" t="s">
        <v>61</v>
      </c>
      <c r="C9" t="s">
        <v>51</v>
      </c>
      <c r="D9" t="s">
        <v>40</v>
      </c>
      <c r="E9" t="s">
        <v>52</v>
      </c>
      <c r="F9" s="2">
        <v>32279</v>
      </c>
      <c r="G9" t="s">
        <v>59</v>
      </c>
      <c r="H9">
        <v>4</v>
      </c>
      <c r="I9">
        <v>26</v>
      </c>
      <c r="J9" s="3">
        <v>51300</v>
      </c>
    </row>
    <row r="10" spans="1:14">
      <c r="A10" t="s">
        <v>55</v>
      </c>
      <c r="B10" t="s">
        <v>62</v>
      </c>
      <c r="C10" t="s">
        <v>51</v>
      </c>
      <c r="D10" t="s">
        <v>40</v>
      </c>
      <c r="E10" t="s">
        <v>52</v>
      </c>
      <c r="F10" s="2">
        <v>32490</v>
      </c>
      <c r="G10" t="s">
        <v>59</v>
      </c>
      <c r="H10">
        <v>4</v>
      </c>
      <c r="I10">
        <v>26</v>
      </c>
      <c r="J10" s="3">
        <v>51300</v>
      </c>
    </row>
    <row r="11" spans="1:14">
      <c r="A11" t="s">
        <v>63</v>
      </c>
      <c r="B11" t="s">
        <v>64</v>
      </c>
      <c r="C11" t="s">
        <v>39</v>
      </c>
      <c r="D11" t="s">
        <v>45</v>
      </c>
      <c r="E11" t="s">
        <v>52</v>
      </c>
      <c r="F11" s="2">
        <v>30654</v>
      </c>
      <c r="G11" t="s">
        <v>42</v>
      </c>
      <c r="H11">
        <v>3</v>
      </c>
      <c r="I11">
        <v>31</v>
      </c>
      <c r="J11" s="3">
        <v>46550</v>
      </c>
    </row>
    <row r="12" spans="1:14">
      <c r="A12" t="s">
        <v>65</v>
      </c>
      <c r="B12" t="s">
        <v>66</v>
      </c>
      <c r="C12" t="s">
        <v>51</v>
      </c>
      <c r="D12" t="s">
        <v>40</v>
      </c>
      <c r="E12" t="s">
        <v>52</v>
      </c>
      <c r="F12" s="2">
        <v>30441</v>
      </c>
      <c r="G12" t="s">
        <v>59</v>
      </c>
      <c r="H12">
        <v>3</v>
      </c>
      <c r="I12">
        <v>31</v>
      </c>
      <c r="J12" s="3">
        <v>46550</v>
      </c>
    </row>
    <row r="13" spans="1:14">
      <c r="A13" t="s">
        <v>67</v>
      </c>
      <c r="B13" t="s">
        <v>68</v>
      </c>
      <c r="C13" t="s">
        <v>39</v>
      </c>
      <c r="D13" t="s">
        <v>48</v>
      </c>
      <c r="E13" t="s">
        <v>52</v>
      </c>
      <c r="F13" s="2">
        <v>28732</v>
      </c>
      <c r="G13" t="s">
        <v>59</v>
      </c>
      <c r="H13">
        <v>2</v>
      </c>
      <c r="I13">
        <v>36</v>
      </c>
      <c r="J13" s="3">
        <v>41800</v>
      </c>
    </row>
    <row r="14" spans="1:14">
      <c r="F14" s="2"/>
      <c r="J14" s="3"/>
    </row>
  </sheetData>
  <phoneticPr fontId="2" type="noConversion"/>
  <pageMargins left="0.7" right="0.7" top="0.75" bottom="0.75" header="0.3" footer="0.3"/>
  <headerFooter>
    <oddHeader>&amp;C&amp;G</oddHeader>
  </headerFooter>
  <legacyDrawingHF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24" sqref="I24"/>
    </sheetView>
  </sheetViews>
  <sheetFormatPr defaultRowHeight="16.5"/>
  <cols>
    <col min="1" max="1" width="8.875" customWidth="1"/>
    <col min="2" max="4" width="6.625" bestFit="1" customWidth="1"/>
    <col min="5" max="6" width="7.625" bestFit="1" customWidth="1"/>
    <col min="7" max="7" width="9.5" bestFit="1" customWidth="1"/>
    <col min="10" max="10" width="10.875" bestFit="1" customWidth="1"/>
    <col min="11" max="13" width="7.625" bestFit="1" customWidth="1"/>
    <col min="14" max="15" width="9.875" bestFit="1" customWidth="1"/>
    <col min="16" max="16" width="7.625" bestFit="1" customWidth="1"/>
  </cols>
  <sheetData>
    <row r="1" spans="1:8">
      <c r="A1" s="20" t="s">
        <v>75</v>
      </c>
      <c r="B1" s="20"/>
      <c r="C1" s="20"/>
      <c r="D1" s="20"/>
      <c r="E1" s="20"/>
      <c r="F1" s="20"/>
      <c r="G1" s="20"/>
    </row>
    <row r="2" spans="1:8">
      <c r="A2" s="12" t="s">
        <v>8</v>
      </c>
      <c r="B2" s="12" t="s">
        <v>1</v>
      </c>
      <c r="C2" s="12" t="s">
        <v>2</v>
      </c>
      <c r="D2" s="12" t="s">
        <v>19</v>
      </c>
      <c r="E2" s="12" t="s">
        <v>3</v>
      </c>
      <c r="F2" s="12" t="s">
        <v>4</v>
      </c>
      <c r="G2" s="12" t="s">
        <v>77</v>
      </c>
      <c r="H2" s="6"/>
    </row>
    <row r="3" spans="1:8">
      <c r="A3" s="12" t="s">
        <v>7</v>
      </c>
      <c r="B3" s="12">
        <v>88</v>
      </c>
      <c r="C3" s="12">
        <v>93</v>
      </c>
      <c r="D3" s="12">
        <v>66</v>
      </c>
      <c r="E3" s="12">
        <v>75</v>
      </c>
      <c r="F3" s="12">
        <v>84</v>
      </c>
      <c r="G3" s="12">
        <f>AVERAGE(表格2[[#This Row],[英文]:[管理學]])</f>
        <v>81.2</v>
      </c>
      <c r="H3" s="6"/>
    </row>
    <row r="4" spans="1:8">
      <c r="A4" s="12" t="s">
        <v>23</v>
      </c>
      <c r="B4" s="12">
        <v>91</v>
      </c>
      <c r="C4" s="12">
        <v>84</v>
      </c>
      <c r="D4" s="12">
        <v>66</v>
      </c>
      <c r="E4" s="12">
        <v>73</v>
      </c>
      <c r="F4" s="12">
        <v>77</v>
      </c>
      <c r="G4" s="12">
        <f>AVERAGE(表格2[[#This Row],[英文]:[管理學]])</f>
        <v>78.2</v>
      </c>
    </row>
    <row r="5" spans="1:8">
      <c r="A5" s="12" t="s">
        <v>5</v>
      </c>
      <c r="B5" s="12">
        <v>87</v>
      </c>
      <c r="C5" s="12">
        <v>95</v>
      </c>
      <c r="D5" s="12">
        <v>70</v>
      </c>
      <c r="E5" s="12">
        <v>62</v>
      </c>
      <c r="F5" s="12">
        <v>74</v>
      </c>
      <c r="G5" s="12">
        <f>AVERAGE(表格2[[#This Row],[英文]:[管理學]])</f>
        <v>77.599999999999994</v>
      </c>
    </row>
    <row r="6" spans="1:8">
      <c r="A6" s="12" t="s">
        <v>24</v>
      </c>
      <c r="B6" s="12">
        <v>70</v>
      </c>
      <c r="C6" s="12">
        <v>88</v>
      </c>
      <c r="D6" s="12">
        <v>80</v>
      </c>
      <c r="E6" s="12">
        <v>65</v>
      </c>
      <c r="F6" s="12">
        <v>75</v>
      </c>
      <c r="G6" s="12">
        <f>AVERAGE(表格2[[#This Row],[英文]:[管理學]])</f>
        <v>75.599999999999994</v>
      </c>
    </row>
    <row r="7" spans="1:8">
      <c r="A7" s="12" t="s">
        <v>26</v>
      </c>
      <c r="B7" s="12">
        <v>77</v>
      </c>
      <c r="C7" s="12">
        <v>82</v>
      </c>
      <c r="D7" s="12">
        <v>66</v>
      </c>
      <c r="E7" s="12">
        <v>76</v>
      </c>
      <c r="F7" s="12">
        <v>70</v>
      </c>
      <c r="G7" s="12">
        <f>AVERAGE(表格2[[#This Row],[英文]:[管理學]])</f>
        <v>74.2</v>
      </c>
    </row>
    <row r="8" spans="1:8">
      <c r="A8" s="12" t="s">
        <v>20</v>
      </c>
      <c r="B8" s="12">
        <v>65</v>
      </c>
      <c r="C8" s="12">
        <v>92</v>
      </c>
      <c r="D8" s="12">
        <v>64</v>
      </c>
      <c r="E8" s="12">
        <v>88</v>
      </c>
      <c r="F8" s="12">
        <v>61</v>
      </c>
      <c r="G8" s="12">
        <f>AVERAGE(表格2[[#This Row],[英文]:[管理學]])</f>
        <v>74</v>
      </c>
    </row>
    <row r="9" spans="1:8">
      <c r="A9" s="12" t="s">
        <v>6</v>
      </c>
      <c r="B9" s="12">
        <v>62</v>
      </c>
      <c r="C9" s="12">
        <v>86</v>
      </c>
      <c r="D9" s="12">
        <v>62</v>
      </c>
      <c r="E9" s="12">
        <v>67</v>
      </c>
      <c r="F9" s="12">
        <v>81</v>
      </c>
      <c r="G9" s="12">
        <f>AVERAGE(表格2[[#This Row],[英文]:[管理學]])</f>
        <v>71.599999999999994</v>
      </c>
    </row>
    <row r="10" spans="1:8">
      <c r="A10" s="12" t="s">
        <v>73</v>
      </c>
      <c r="B10" s="12">
        <v>85</v>
      </c>
      <c r="C10" s="12">
        <v>75</v>
      </c>
      <c r="D10" s="12">
        <v>58</v>
      </c>
      <c r="E10" s="12">
        <v>69</v>
      </c>
      <c r="F10" s="12">
        <v>66</v>
      </c>
      <c r="G10" s="12">
        <f>AVERAGE(表格2[[#This Row],[英文]:[管理學]])</f>
        <v>70.599999999999994</v>
      </c>
    </row>
    <row r="11" spans="1:8" hidden="1">
      <c r="A11" s="12" t="s">
        <v>22</v>
      </c>
      <c r="B11" s="12">
        <v>53</v>
      </c>
      <c r="C11" s="12">
        <v>62</v>
      </c>
      <c r="D11" s="12">
        <v>58</v>
      </c>
      <c r="E11" s="12">
        <v>95</v>
      </c>
      <c r="F11" s="12">
        <v>76</v>
      </c>
      <c r="G11" s="12">
        <f>AVERAGE(表格2[[#This Row],[英文]:[管理學]])</f>
        <v>68.8</v>
      </c>
    </row>
    <row r="12" spans="1:8" hidden="1">
      <c r="A12" s="12" t="s">
        <v>25</v>
      </c>
      <c r="B12" s="12">
        <v>62</v>
      </c>
      <c r="C12" s="12">
        <v>73</v>
      </c>
      <c r="D12" s="12">
        <v>72</v>
      </c>
      <c r="E12" s="12">
        <v>62</v>
      </c>
      <c r="F12" s="12">
        <v>68</v>
      </c>
      <c r="G12" s="12">
        <f>AVERAGE(表格2[[#This Row],[英文]:[管理學]])</f>
        <v>67.400000000000006</v>
      </c>
    </row>
    <row r="13" spans="1:8" hidden="1">
      <c r="A13" s="12" t="s">
        <v>74</v>
      </c>
      <c r="B13" s="12">
        <v>58</v>
      </c>
      <c r="C13" s="12">
        <v>72</v>
      </c>
      <c r="D13" s="12">
        <v>70</v>
      </c>
      <c r="E13" s="12">
        <v>65</v>
      </c>
      <c r="F13" s="12">
        <v>63</v>
      </c>
      <c r="G13" s="12">
        <f>AVERAGE(表格2[[#This Row],[英文]:[管理學]])</f>
        <v>65.599999999999994</v>
      </c>
    </row>
    <row r="14" spans="1:8" hidden="1">
      <c r="A14" s="12" t="s">
        <v>27</v>
      </c>
      <c r="B14" s="12">
        <v>55</v>
      </c>
      <c r="C14" s="12">
        <v>70</v>
      </c>
      <c r="D14" s="12">
        <v>62</v>
      </c>
      <c r="E14" s="12">
        <v>58</v>
      </c>
      <c r="F14" s="12">
        <v>68</v>
      </c>
      <c r="G14" s="12">
        <f>AVERAGE(表格2[[#This Row],[英文]:[管理學]])</f>
        <v>62.6</v>
      </c>
    </row>
    <row r="15" spans="1:8" hidden="1">
      <c r="A15" s="12" t="s">
        <v>21</v>
      </c>
      <c r="B15" s="12">
        <v>58</v>
      </c>
      <c r="C15" s="12">
        <v>55</v>
      </c>
      <c r="D15" s="12">
        <v>52</v>
      </c>
      <c r="E15" s="12">
        <v>64</v>
      </c>
      <c r="F15" s="12">
        <v>70</v>
      </c>
      <c r="G15" s="12">
        <f>AVERAGE(表格2[[#This Row],[英文]:[管理學]])</f>
        <v>59.8</v>
      </c>
    </row>
    <row r="16" spans="1:8">
      <c r="A16" s="11" t="s">
        <v>72</v>
      </c>
      <c r="B16" s="19">
        <f>AVERAGE(B3:B15)</f>
        <v>70.07692307692308</v>
      </c>
      <c r="C16" s="19">
        <f>AVERAGE(C3:C15)</f>
        <v>79</v>
      </c>
      <c r="D16" s="19">
        <f>AVERAGE(D3:D15)</f>
        <v>65.07692307692308</v>
      </c>
      <c r="E16" s="19">
        <f>AVERAGE(E3:E15)</f>
        <v>70.692307692307693</v>
      </c>
      <c r="F16" s="19">
        <f>AVERAGE(F3:F15)</f>
        <v>71.769230769230774</v>
      </c>
      <c r="G16" s="12"/>
    </row>
    <row r="19" spans="10:10">
      <c r="J19" s="7"/>
    </row>
  </sheetData>
  <mergeCells count="1">
    <mergeCell ref="A1:G1"/>
  </mergeCells>
  <phoneticPr fontId="2" type="noConversion"/>
  <pageMargins left="0.7" right="0.7" top="0.75" bottom="0.75" header="0.3" footer="0.3"/>
  <headerFooter>
    <oddHeader>&amp;C&amp;G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M19" sqref="M19"/>
    </sheetView>
  </sheetViews>
  <sheetFormatPr defaultRowHeight="16.5"/>
  <cols>
    <col min="1" max="5" width="5.5" bestFit="1" customWidth="1"/>
    <col min="13" max="13" width="16.125" bestFit="1" customWidth="1"/>
  </cols>
  <sheetData>
    <row r="1" spans="1:15">
      <c r="A1" s="21" t="s">
        <v>82</v>
      </c>
      <c r="B1" s="21"/>
      <c r="C1" s="21"/>
      <c r="D1" s="21"/>
      <c r="E1" s="21"/>
    </row>
    <row r="2" spans="1:15">
      <c r="A2" s="6" t="s">
        <v>9</v>
      </c>
      <c r="B2" s="6" t="s">
        <v>14</v>
      </c>
      <c r="C2" s="6" t="s">
        <v>15</v>
      </c>
      <c r="D2" s="6" t="s">
        <v>16</v>
      </c>
      <c r="E2" s="6" t="s">
        <v>18</v>
      </c>
    </row>
    <row r="3" spans="1:15">
      <c r="A3" s="6" t="s">
        <v>10</v>
      </c>
      <c r="B3" s="6">
        <v>1215</v>
      </c>
      <c r="C3" s="6">
        <v>985</v>
      </c>
      <c r="D3" s="6">
        <v>753</v>
      </c>
      <c r="E3" s="6">
        <f>SUM(B3:D3)</f>
        <v>2953</v>
      </c>
      <c r="O3" s="1"/>
    </row>
    <row r="4" spans="1:15">
      <c r="A4" s="6" t="s">
        <v>11</v>
      </c>
      <c r="B4" s="6">
        <v>983</v>
      </c>
      <c r="C4" s="6">
        <v>745</v>
      </c>
      <c r="D4" s="6">
        <v>1250</v>
      </c>
      <c r="E4" s="6">
        <f t="shared" ref="E4:E6" si="0">SUM(B4:D4)</f>
        <v>2978</v>
      </c>
      <c r="O4" s="1"/>
    </row>
    <row r="5" spans="1:15">
      <c r="A5" s="6" t="s">
        <v>12</v>
      </c>
      <c r="B5" s="6">
        <v>1536</v>
      </c>
      <c r="C5" s="6">
        <v>962</v>
      </c>
      <c r="D5" s="6">
        <v>1123</v>
      </c>
      <c r="E5" s="6">
        <f t="shared" si="0"/>
        <v>3621</v>
      </c>
      <c r="O5" s="1"/>
    </row>
    <row r="6" spans="1:15">
      <c r="A6" s="6" t="s">
        <v>13</v>
      </c>
      <c r="B6" s="6">
        <v>756</v>
      </c>
      <c r="C6" s="6">
        <v>569</v>
      </c>
      <c r="D6" s="6">
        <v>628</v>
      </c>
      <c r="E6" s="6">
        <f t="shared" si="0"/>
        <v>1953</v>
      </c>
      <c r="O6" s="1"/>
    </row>
    <row r="7" spans="1:15">
      <c r="O7" s="1"/>
    </row>
    <row r="8" spans="1:15">
      <c r="O8" s="1"/>
    </row>
    <row r="9" spans="1:15">
      <c r="O9" s="1"/>
    </row>
    <row r="10" spans="1:15">
      <c r="O10" s="1"/>
    </row>
    <row r="11" spans="1:15">
      <c r="O11" s="1"/>
    </row>
  </sheetData>
  <mergeCells count="1">
    <mergeCell ref="A1:E1"/>
  </mergeCells>
  <phoneticPr fontId="2" type="noConversion"/>
  <pageMargins left="0.7" right="0.7" top="0.75" bottom="0.75" header="0.3" footer="0.3"/>
  <headerFooter>
    <oddHeader>&amp;C&amp;G</oddHeader>
  </headerFooter>
  <drawing r:id="rId1"/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O2" sqref="O2"/>
    </sheetView>
  </sheetViews>
  <sheetFormatPr defaultRowHeight="16.5"/>
  <cols>
    <col min="1" max="2" width="5.5" bestFit="1" customWidth="1"/>
    <col min="3" max="3" width="8.25" bestFit="1" customWidth="1"/>
    <col min="4" max="4" width="5.5" bestFit="1" customWidth="1"/>
    <col min="5" max="5" width="5.75" bestFit="1" customWidth="1"/>
    <col min="13" max="13" width="16.125" bestFit="1" customWidth="1"/>
  </cols>
  <sheetData>
    <row r="1" spans="1:5">
      <c r="A1" s="21" t="s">
        <v>89</v>
      </c>
      <c r="B1" s="21"/>
      <c r="C1" s="21"/>
      <c r="D1" s="21"/>
      <c r="E1" s="21"/>
    </row>
    <row r="2" spans="1:5">
      <c r="A2" s="6"/>
      <c r="B2" s="6" t="s">
        <v>88</v>
      </c>
      <c r="C2" s="23" t="s">
        <v>96</v>
      </c>
      <c r="D2" s="15" t="s">
        <v>90</v>
      </c>
      <c r="E2" s="16" t="s">
        <v>91</v>
      </c>
    </row>
    <row r="3" spans="1:5">
      <c r="A3" s="6" t="s">
        <v>83</v>
      </c>
      <c r="B3" s="6">
        <v>91</v>
      </c>
      <c r="C3" s="6">
        <v>97</v>
      </c>
      <c r="D3" s="6">
        <v>69</v>
      </c>
      <c r="E3" s="6">
        <v>3</v>
      </c>
    </row>
    <row r="4" spans="1:5">
      <c r="A4" s="6" t="s">
        <v>84</v>
      </c>
      <c r="B4" s="6">
        <v>96</v>
      </c>
      <c r="C4" s="6">
        <v>71</v>
      </c>
      <c r="D4" s="6">
        <v>74</v>
      </c>
      <c r="E4" s="6">
        <v>5</v>
      </c>
    </row>
    <row r="5" spans="1:5">
      <c r="A5" s="6" t="s">
        <v>85</v>
      </c>
      <c r="B5" s="6">
        <v>76</v>
      </c>
      <c r="C5" s="6">
        <v>96</v>
      </c>
      <c r="D5" s="6">
        <v>17</v>
      </c>
      <c r="E5" s="6">
        <v>9</v>
      </c>
    </row>
    <row r="6" spans="1:5">
      <c r="A6" s="6" t="s">
        <v>86</v>
      </c>
      <c r="B6" s="6">
        <v>65</v>
      </c>
      <c r="C6" s="6">
        <v>86</v>
      </c>
      <c r="D6" s="6">
        <v>24</v>
      </c>
      <c r="E6" s="6">
        <v>4</v>
      </c>
    </row>
    <row r="7" spans="1:5">
      <c r="A7" s="6" t="s">
        <v>87</v>
      </c>
      <c r="B7" s="6">
        <v>81</v>
      </c>
      <c r="C7" s="6">
        <v>93</v>
      </c>
      <c r="D7" s="6">
        <v>35</v>
      </c>
      <c r="E7" s="6">
        <v>56</v>
      </c>
    </row>
  </sheetData>
  <mergeCells count="1">
    <mergeCell ref="A1:E1"/>
  </mergeCells>
  <phoneticPr fontId="2" type="noConversion"/>
  <pageMargins left="0.7" right="0.7" top="0.75" bottom="0.75" header="0.3" footer="0.3"/>
  <headerFooter>
    <oddHeader>&amp;C&amp;G</oddHeader>
  </headerFooter>
  <drawing r:id="rId1"/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43"/>
  <sheetViews>
    <sheetView topLeftCell="A19" workbookViewId="0">
      <selection activeCell="G29" sqref="G29"/>
    </sheetView>
  </sheetViews>
  <sheetFormatPr defaultRowHeight="16.5"/>
  <cols>
    <col min="1" max="7" width="12.125" customWidth="1"/>
  </cols>
  <sheetData>
    <row r="1" spans="1:8">
      <c r="A1" t="s">
        <v>93</v>
      </c>
    </row>
    <row r="2" spans="1:8">
      <c r="A2" t="s">
        <v>71</v>
      </c>
      <c r="B2" t="s">
        <v>70</v>
      </c>
    </row>
    <row r="3" spans="1:8">
      <c r="A3" t="s">
        <v>69</v>
      </c>
      <c r="B3" t="s">
        <v>40</v>
      </c>
      <c r="C3" t="s">
        <v>17</v>
      </c>
    </row>
    <row r="4" spans="1:8">
      <c r="A4" s="4" t="s">
        <v>39</v>
      </c>
      <c r="B4" s="8">
        <v>56700</v>
      </c>
      <c r="C4" s="5">
        <v>56700</v>
      </c>
    </row>
    <row r="5" spans="1:8">
      <c r="A5" s="4" t="s">
        <v>51</v>
      </c>
      <c r="B5" s="8">
        <v>51500</v>
      </c>
      <c r="C5" s="5">
        <v>51500</v>
      </c>
    </row>
    <row r="6" spans="1:8">
      <c r="A6" s="4" t="s">
        <v>17</v>
      </c>
      <c r="B6" s="5">
        <v>52985.714285714283</v>
      </c>
      <c r="C6" s="5">
        <v>52985.714285714283</v>
      </c>
    </row>
    <row r="8" spans="1:8">
      <c r="A8" s="4" t="s">
        <v>92</v>
      </c>
      <c r="H8" s="9"/>
    </row>
    <row r="9" spans="1:8">
      <c r="B9" t="s">
        <v>78</v>
      </c>
    </row>
    <row r="10" spans="1:8">
      <c r="B10" t="s">
        <v>76</v>
      </c>
    </row>
    <row r="11" spans="1:8">
      <c r="B11" t="s">
        <v>79</v>
      </c>
    </row>
    <row r="12" spans="1:8">
      <c r="B12" t="s">
        <v>80</v>
      </c>
    </row>
    <row r="13" spans="1:8">
      <c r="B13" t="s">
        <v>81</v>
      </c>
    </row>
    <row r="14" spans="1:8">
      <c r="A14" s="22" t="s">
        <v>75</v>
      </c>
      <c r="B14" s="22"/>
      <c r="C14" s="22"/>
      <c r="D14" s="22"/>
      <c r="E14" s="22"/>
      <c r="F14" s="22"/>
      <c r="G14" s="22"/>
    </row>
    <row r="15" spans="1:8">
      <c r="A15" s="10" t="s">
        <v>8</v>
      </c>
      <c r="B15" s="10" t="s">
        <v>1</v>
      </c>
      <c r="C15" s="10" t="s">
        <v>2</v>
      </c>
      <c r="D15" s="10" t="s">
        <v>19</v>
      </c>
      <c r="E15" s="10" t="s">
        <v>3</v>
      </c>
      <c r="F15" s="10" t="s">
        <v>4</v>
      </c>
      <c r="G15" s="10" t="s">
        <v>77</v>
      </c>
    </row>
    <row r="16" spans="1:8">
      <c r="A16" s="12" t="s">
        <v>7</v>
      </c>
      <c r="B16" s="12">
        <v>88</v>
      </c>
      <c r="C16" s="12">
        <v>93</v>
      </c>
      <c r="D16" s="12">
        <v>66</v>
      </c>
      <c r="E16" s="12">
        <v>75</v>
      </c>
      <c r="F16" s="12">
        <v>84</v>
      </c>
      <c r="G16" s="14">
        <f t="shared" ref="G16:G28" si="0">AVERAGE(B16:F16)</f>
        <v>81.2</v>
      </c>
    </row>
    <row r="17" spans="1:7">
      <c r="A17" s="12" t="s">
        <v>23</v>
      </c>
      <c r="B17" s="12">
        <v>91</v>
      </c>
      <c r="C17" s="12">
        <v>84</v>
      </c>
      <c r="D17" s="12">
        <v>66</v>
      </c>
      <c r="E17" s="12">
        <v>73</v>
      </c>
      <c r="F17" s="12">
        <v>77</v>
      </c>
      <c r="G17" s="14">
        <f t="shared" si="0"/>
        <v>78.2</v>
      </c>
    </row>
    <row r="18" spans="1:7">
      <c r="A18" s="12" t="s">
        <v>5</v>
      </c>
      <c r="B18" s="12">
        <v>87</v>
      </c>
      <c r="C18" s="12">
        <v>95</v>
      </c>
      <c r="D18" s="12">
        <v>70</v>
      </c>
      <c r="E18" s="12">
        <v>62</v>
      </c>
      <c r="F18" s="12">
        <v>74</v>
      </c>
      <c r="G18" s="14">
        <f t="shared" si="0"/>
        <v>77.599999999999994</v>
      </c>
    </row>
    <row r="19" spans="1:7">
      <c r="A19" s="12" t="s">
        <v>24</v>
      </c>
      <c r="B19" s="12">
        <v>70</v>
      </c>
      <c r="C19" s="12">
        <v>88</v>
      </c>
      <c r="D19" s="12">
        <v>80</v>
      </c>
      <c r="E19" s="12">
        <v>65</v>
      </c>
      <c r="F19" s="12">
        <v>75</v>
      </c>
      <c r="G19" s="14">
        <f t="shared" si="0"/>
        <v>75.599999999999994</v>
      </c>
    </row>
    <row r="20" spans="1:7">
      <c r="A20" s="12" t="s">
        <v>26</v>
      </c>
      <c r="B20" s="12">
        <v>77</v>
      </c>
      <c r="C20" s="12">
        <v>82</v>
      </c>
      <c r="D20" s="12">
        <v>66</v>
      </c>
      <c r="E20" s="12">
        <v>76</v>
      </c>
      <c r="F20" s="12">
        <v>70</v>
      </c>
      <c r="G20" s="14">
        <f t="shared" si="0"/>
        <v>74.2</v>
      </c>
    </row>
    <row r="21" spans="1:7">
      <c r="A21" s="12" t="s">
        <v>20</v>
      </c>
      <c r="B21" s="12">
        <v>65</v>
      </c>
      <c r="C21" s="12">
        <v>92</v>
      </c>
      <c r="D21" s="12">
        <v>64</v>
      </c>
      <c r="E21" s="12">
        <v>88</v>
      </c>
      <c r="F21" s="12">
        <v>61</v>
      </c>
      <c r="G21" s="14">
        <f t="shared" si="0"/>
        <v>74</v>
      </c>
    </row>
    <row r="22" spans="1:7">
      <c r="A22" s="12" t="s">
        <v>6</v>
      </c>
      <c r="B22" s="12">
        <v>62</v>
      </c>
      <c r="C22" s="12">
        <v>86</v>
      </c>
      <c r="D22" s="12">
        <v>62</v>
      </c>
      <c r="E22" s="12">
        <v>67</v>
      </c>
      <c r="F22" s="12">
        <v>81</v>
      </c>
      <c r="G22" s="14">
        <f t="shared" si="0"/>
        <v>71.599999999999994</v>
      </c>
    </row>
    <row r="23" spans="1:7">
      <c r="A23" s="12" t="s">
        <v>73</v>
      </c>
      <c r="B23" s="12">
        <v>85</v>
      </c>
      <c r="C23" s="12">
        <v>75</v>
      </c>
      <c r="D23" s="12">
        <v>58</v>
      </c>
      <c r="E23" s="12">
        <v>69</v>
      </c>
      <c r="F23" s="12">
        <v>66</v>
      </c>
      <c r="G23" s="14">
        <f t="shared" si="0"/>
        <v>70.599999999999994</v>
      </c>
    </row>
    <row r="24" spans="1:7" hidden="1">
      <c r="A24" s="12" t="s">
        <v>22</v>
      </c>
      <c r="B24" s="12">
        <v>53</v>
      </c>
      <c r="C24" s="12">
        <v>62</v>
      </c>
      <c r="D24" s="12">
        <v>58</v>
      </c>
      <c r="E24" s="12">
        <v>95</v>
      </c>
      <c r="F24" s="12">
        <v>76</v>
      </c>
      <c r="G24" s="14">
        <f t="shared" si="0"/>
        <v>68.8</v>
      </c>
    </row>
    <row r="25" spans="1:7" hidden="1">
      <c r="A25" s="12" t="s">
        <v>25</v>
      </c>
      <c r="B25" s="12">
        <v>62</v>
      </c>
      <c r="C25" s="12">
        <v>73</v>
      </c>
      <c r="D25" s="12">
        <v>72</v>
      </c>
      <c r="E25" s="12">
        <v>62</v>
      </c>
      <c r="F25" s="12">
        <v>68</v>
      </c>
      <c r="G25" s="14">
        <f t="shared" si="0"/>
        <v>67.400000000000006</v>
      </c>
    </row>
    <row r="26" spans="1:7" hidden="1">
      <c r="A26" s="12" t="s">
        <v>74</v>
      </c>
      <c r="B26" s="12">
        <v>58</v>
      </c>
      <c r="C26" s="12">
        <v>72</v>
      </c>
      <c r="D26" s="12">
        <v>70</v>
      </c>
      <c r="E26" s="12">
        <v>65</v>
      </c>
      <c r="F26" s="12">
        <v>63</v>
      </c>
      <c r="G26" s="14">
        <f t="shared" si="0"/>
        <v>65.599999999999994</v>
      </c>
    </row>
    <row r="27" spans="1:7" hidden="1">
      <c r="A27" s="12" t="s">
        <v>27</v>
      </c>
      <c r="B27" s="12">
        <v>55</v>
      </c>
      <c r="C27" s="12">
        <v>70</v>
      </c>
      <c r="D27" s="12">
        <v>62</v>
      </c>
      <c r="E27" s="12">
        <v>58</v>
      </c>
      <c r="F27" s="12">
        <v>68</v>
      </c>
      <c r="G27" s="14">
        <f t="shared" si="0"/>
        <v>62.6</v>
      </c>
    </row>
    <row r="28" spans="1:7" hidden="1">
      <c r="A28" s="12" t="s">
        <v>21</v>
      </c>
      <c r="B28" s="12">
        <v>58</v>
      </c>
      <c r="C28" s="12">
        <v>55</v>
      </c>
      <c r="D28" s="12">
        <v>52</v>
      </c>
      <c r="E28" s="12">
        <v>64</v>
      </c>
      <c r="F28" s="12">
        <v>70</v>
      </c>
      <c r="G28" s="14">
        <f t="shared" si="0"/>
        <v>59.8</v>
      </c>
    </row>
    <row r="29" spans="1:7">
      <c r="A29" s="11" t="s">
        <v>72</v>
      </c>
      <c r="B29" s="13">
        <f>AVERAGE(B16:B28)</f>
        <v>70.07692307692308</v>
      </c>
      <c r="C29" s="13">
        <f>AVERAGE(C16:C28)</f>
        <v>79</v>
      </c>
      <c r="D29" s="13">
        <f>AVERAGE(D16:D28)</f>
        <v>65.07692307692308</v>
      </c>
      <c r="E29" s="13">
        <f>AVERAGE(E16:E28)</f>
        <v>70.692307692307693</v>
      </c>
      <c r="F29" s="13">
        <f>AVERAGE(F16:F28)</f>
        <v>71.769230769230774</v>
      </c>
      <c r="G29" s="12"/>
    </row>
    <row r="31" spans="1:7">
      <c r="A31" t="s">
        <v>94</v>
      </c>
    </row>
    <row r="43" spans="1:1">
      <c r="A43" t="s">
        <v>95</v>
      </c>
    </row>
  </sheetData>
  <sheetProtection password="9690" sheet="1" objects="1" scenarios="1"/>
  <autoFilter ref="A15:G29">
    <filterColumn colId="6">
      <customFilters>
        <customFilter operator="greaterThanOrEqual" val="70"/>
        <customFilter val=""/>
      </customFilters>
    </filterColumn>
  </autoFilter>
  <sortState ref="A16:G28">
    <sortCondition descending="1" ref="G16:G28"/>
  </sortState>
  <mergeCells count="1">
    <mergeCell ref="A14:G14"/>
  </mergeCells>
  <phoneticPr fontId="2" type="noConversion"/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薪資</vt:lpstr>
      <vt:lpstr>成績</vt:lpstr>
      <vt:lpstr>車輛銷售</vt:lpstr>
      <vt:lpstr>武將能力</vt:lpstr>
      <vt:lpstr>考題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saxon[莊聖瑋]</dc:creator>
  <cp:lastModifiedBy>rjsiao[蕭瑞展]</cp:lastModifiedBy>
  <dcterms:created xsi:type="dcterms:W3CDTF">2020-03-16T02:12:24Z</dcterms:created>
  <dcterms:modified xsi:type="dcterms:W3CDTF">2026-08-28T03:12:26Z</dcterms:modified>
</cp:coreProperties>
</file>